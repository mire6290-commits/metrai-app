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TEBOOK\Downloads\Metrai_structure\Metrai\01_data_raw\projet_05_NOM_AFFAIRE\"/>
    </mc:Choice>
  </mc:AlternateContent>
  <xr:revisionPtr revIDLastSave="0" documentId="13_ncr:1_{77108D98-7726-47B3-B5CD-C74D114DE5FD}" xr6:coauthVersionLast="47" xr6:coauthVersionMax="47" xr10:uidLastSave="{00000000-0000-0000-0000-000000000000}"/>
  <bookViews>
    <workbookView xWindow="-108" yWindow="-108" windowWidth="23256" windowHeight="12456" tabRatio="598" xr2:uid="{00000000-000D-0000-FFFF-FFFF00000000}"/>
  </bookViews>
  <sheets>
    <sheet name="IHCC NC" sheetId="13" r:id="rId1"/>
  </sheets>
  <definedNames>
    <definedName name="_xlnm.Print_Area" localSheetId="0">'IHCC NC'!$A$1:$U$50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43" i="13" l="1"/>
  <c r="T43" i="13" s="1"/>
  <c r="H43" i="13"/>
  <c r="I43" i="13" s="1"/>
  <c r="D22" i="13" l="1"/>
  <c r="H31" i="13"/>
  <c r="I31" i="13" s="1"/>
  <c r="H34" i="13"/>
  <c r="I34" i="13" s="1"/>
  <c r="H37" i="13" l="1"/>
  <c r="H29" i="13"/>
  <c r="H30" i="13"/>
  <c r="I30" i="13" s="1"/>
  <c r="H12" i="13"/>
  <c r="I12" i="13" s="1"/>
  <c r="D33" i="13" l="1"/>
  <c r="H39" i="13" l="1"/>
  <c r="S29" i="13"/>
  <c r="T29" i="13" s="1"/>
  <c r="S39" i="13"/>
  <c r="T39" i="13" s="1"/>
  <c r="S33" i="13"/>
  <c r="T33" i="13"/>
  <c r="S28" i="13"/>
  <c r="S24" i="13" l="1"/>
  <c r="T24" i="13" s="1"/>
  <c r="S19" i="13"/>
  <c r="S22" i="13"/>
  <c r="T22" i="13" s="1"/>
  <c r="S26" i="13"/>
  <c r="T26" i="13" s="1"/>
  <c r="H41" i="13"/>
  <c r="T19" i="13" l="1"/>
  <c r="H26" i="13"/>
  <c r="I26" i="13" s="1"/>
  <c r="D36" i="13" l="1"/>
  <c r="H36" i="13"/>
  <c r="D17" i="13"/>
  <c r="H33" i="13"/>
  <c r="H28" i="13"/>
  <c r="H24" i="13"/>
  <c r="I24" i="13" s="1"/>
  <c r="H19" i="13"/>
  <c r="H20" i="13"/>
  <c r="I29" i="13" l="1"/>
  <c r="I41" i="13"/>
  <c r="S10" i="13"/>
  <c r="T10" i="13" s="1"/>
  <c r="H15" i="13"/>
  <c r="I15" i="13" s="1"/>
  <c r="H11" i="13"/>
  <c r="I11" i="13" s="1"/>
  <c r="H14" i="13"/>
  <c r="I14" i="13" s="1"/>
  <c r="I39" i="13" l="1"/>
  <c r="T28" i="13" l="1"/>
  <c r="I37" i="13"/>
  <c r="I36" i="13"/>
  <c r="I28" i="13" l="1"/>
  <c r="I33" i="13"/>
  <c r="S17" i="13" l="1"/>
  <c r="T17" i="13" s="1"/>
  <c r="T45" i="13" l="1"/>
  <c r="H22" i="13"/>
  <c r="I22" i="13" s="1"/>
  <c r="I20" i="13"/>
  <c r="I19" i="13"/>
  <c r="H17" i="13"/>
  <c r="I17" i="13" s="1"/>
  <c r="H10" i="13"/>
  <c r="I10" i="13" s="1"/>
  <c r="I45" i="13" s="1"/>
  <c r="T47" i="13" l="1"/>
  <c r="I47" i="13" l="1"/>
</calcChain>
</file>

<file path=xl/sharedStrings.xml><?xml version="1.0" encoding="utf-8"?>
<sst xmlns="http://schemas.openxmlformats.org/spreadsheetml/2006/main" count="149" uniqueCount="61">
  <si>
    <t>Pos</t>
  </si>
  <si>
    <t>Quantité</t>
  </si>
  <si>
    <t>Poids Tot Kg</t>
  </si>
  <si>
    <t>Designation</t>
  </si>
  <si>
    <t>Long (mm)</t>
  </si>
  <si>
    <t>Poids Kg/(m)</t>
  </si>
  <si>
    <t>Poids Kg/Unt</t>
  </si>
  <si>
    <t>Nomenclatures</t>
  </si>
  <si>
    <t xml:space="preserve">Client: </t>
  </si>
  <si>
    <t>POIDS BRUT</t>
  </si>
  <si>
    <t>1- Ossature métallique :</t>
  </si>
  <si>
    <t>Poids Tot Net en Kg</t>
  </si>
  <si>
    <t>POIDS NET</t>
  </si>
  <si>
    <t>Poids Tot Brut en Kg</t>
  </si>
  <si>
    <t xml:space="preserve"> </t>
  </si>
  <si>
    <t xml:space="preserve">  </t>
  </si>
  <si>
    <t>PANNES</t>
  </si>
  <si>
    <t>-----</t>
  </si>
  <si>
    <t>ECHANTIGNOLE</t>
  </si>
  <si>
    <t>BOULONNERIE + SOUDAGE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</si>
  <si>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</si>
  <si>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Le:  03/09/ 2025</t>
  </si>
  <si>
    <t>IHCC</t>
  </si>
  <si>
    <t>HEA240</t>
  </si>
  <si>
    <t>HEA100</t>
  </si>
  <si>
    <t>MONTANT</t>
  </si>
  <si>
    <t>Diagonale</t>
  </si>
  <si>
    <t>HEA140</t>
  </si>
  <si>
    <t>Poutre support</t>
  </si>
  <si>
    <t>TN490*240*12</t>
  </si>
  <si>
    <t>TN450*135*8</t>
  </si>
  <si>
    <t>Platine Diagonale ET MONTANT</t>
  </si>
  <si>
    <t>TN250*315*10</t>
  </si>
  <si>
    <t>TN210*160*8</t>
  </si>
  <si>
    <t>TN210*240*8</t>
  </si>
  <si>
    <t>TIGE D'ANCRAGE</t>
  </si>
  <si>
    <t>ROND Ø30</t>
  </si>
  <si>
    <t>TN80*80*15</t>
  </si>
  <si>
    <t>PLATINE SOCLE</t>
  </si>
  <si>
    <t>TN500*250*15</t>
  </si>
  <si>
    <t>IPE240</t>
  </si>
  <si>
    <t>HEA120</t>
  </si>
  <si>
    <t>TN2000*1000*12</t>
  </si>
  <si>
    <t>TN2000*1000*15</t>
  </si>
  <si>
    <t>TN2000*1000*8</t>
  </si>
  <si>
    <t>TN2000*1000*10</t>
  </si>
  <si>
    <t>JARRETS</t>
  </si>
  <si>
    <t>Platine de poutre support</t>
  </si>
  <si>
    <t>TN120*120*8</t>
  </si>
  <si>
    <t>Platine de jarrets</t>
  </si>
  <si>
    <t>TN260*250*10</t>
  </si>
  <si>
    <t>TN100*60*8</t>
  </si>
  <si>
    <t>Redisure de poutre support</t>
  </si>
  <si>
    <t>Tôle periphirique 25/10</t>
  </si>
  <si>
    <t>TPG 3000*0,5*2,5</t>
  </si>
  <si>
    <t>TPG 3000*1,5*2,5</t>
  </si>
  <si>
    <t>Membrane inférieur</t>
  </si>
  <si>
    <t>PLAQUE D'ENCRAGE</t>
  </si>
  <si>
    <t>Platine  membrure supp et inf</t>
  </si>
  <si>
    <t>Membrure supérieur</t>
  </si>
  <si>
    <t xml:space="preserve">AFFAIRE:Upper Roof Structure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</si>
</sst>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Arial"/>
      <family val="2"/>
    </font>
    <font>
      <sz val="16"/>
      <name val="Calibri"/>
      <family val="2"/>
      <scheme val="minor"/>
    </font>
    <font>
      <sz val="16"/>
      <color rgb="FF00B05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rgb="FF0070C0"/>
      <name val="Calibri"/>
      <family val="2"/>
      <scheme val="minor"/>
    </font>
    <font>
      <b/>
      <i/>
      <u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color rgb="FF00B0F0"/>
      <name val="Calibri"/>
      <family val="2"/>
      <scheme val="minor"/>
    </font>
    <font>
      <sz val="16"/>
      <color rgb="FF7030A0"/>
      <name val="Calibri"/>
      <family val="2"/>
      <scheme val="minor"/>
    </font>
    <font>
      <sz val="14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2" fontId="2" fillId="0" borderId="1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9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2" fontId="3" fillId="0" borderId="22" xfId="0" applyNumberFormat="1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/>
    <xf numFmtId="0" fontId="6" fillId="0" borderId="0" xfId="0" applyFont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9" fillId="0" borderId="3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2" fillId="0" borderId="5" xfId="0" applyFont="1" applyBorder="1"/>
    <xf numFmtId="0" fontId="9" fillId="0" borderId="5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6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9" fillId="4" borderId="0" xfId="0" applyFont="1" applyFill="1" applyAlignment="1">
      <alignment vertical="center"/>
    </xf>
    <xf numFmtId="0" fontId="2" fillId="0" borderId="6" xfId="0" applyFont="1" applyBorder="1"/>
    <xf numFmtId="2" fontId="2" fillId="0" borderId="5" xfId="0" applyNumberFormat="1" applyFont="1" applyBorder="1"/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2" fontId="2" fillId="0" borderId="13" xfId="0" applyNumberFormat="1" applyFont="1" applyBorder="1" applyAlignment="1">
      <alignment horizontal="center" vertical="center"/>
    </xf>
    <xf numFmtId="0" fontId="2" fillId="0" borderId="24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2" fontId="2" fillId="0" borderId="0" xfId="0" applyNumberFormat="1" applyFont="1"/>
    <xf numFmtId="0" fontId="2" fillId="0" borderId="23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0" fontId="2" fillId="0" borderId="17" xfId="0" applyFont="1" applyBorder="1"/>
    <xf numFmtId="0" fontId="2" fillId="0" borderId="5" xfId="0" applyFont="1" applyBorder="1" applyAlignment="1">
      <alignment vertical="center"/>
    </xf>
    <xf numFmtId="0" fontId="9" fillId="2" borderId="14" xfId="0" applyFont="1" applyFill="1" applyBorder="1" applyAlignment="1">
      <alignment vertical="center"/>
    </xf>
    <xf numFmtId="0" fontId="9" fillId="2" borderId="15" xfId="0" applyFont="1" applyFill="1" applyBorder="1" applyAlignment="1">
      <alignment vertical="center"/>
    </xf>
    <xf numFmtId="0" fontId="2" fillId="0" borderId="18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26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2" fontId="9" fillId="3" borderId="16" xfId="0" applyNumberFormat="1" applyFont="1" applyFill="1" applyBorder="1" applyAlignment="1">
      <alignment vertical="center"/>
    </xf>
    <xf numFmtId="0" fontId="2" fillId="0" borderId="29" xfId="0" applyFont="1" applyBorder="1" applyAlignment="1">
      <alignment horizontal="center" vertical="center"/>
    </xf>
    <xf numFmtId="2" fontId="2" fillId="0" borderId="22" xfId="0" applyNumberFormat="1" applyFont="1" applyBorder="1" applyAlignment="1">
      <alignment horizontal="center" vertical="center"/>
    </xf>
    <xf numFmtId="2" fontId="5" fillId="0" borderId="22" xfId="0" applyNumberFormat="1" applyFont="1" applyBorder="1" applyAlignment="1">
      <alignment horizontal="center" vertical="center"/>
    </xf>
    <xf numFmtId="0" fontId="2" fillId="0" borderId="30" xfId="0" applyFont="1" applyBorder="1" applyAlignment="1">
      <alignment vertical="center"/>
    </xf>
    <xf numFmtId="2" fontId="2" fillId="0" borderId="30" xfId="0" applyNumberFormat="1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vertical="center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2" fontId="9" fillId="0" borderId="0" xfId="0" applyNumberFormat="1" applyFont="1" applyAlignment="1">
      <alignment vertical="center"/>
    </xf>
    <xf numFmtId="0" fontId="2" fillId="0" borderId="35" xfId="0" applyFont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2" fontId="2" fillId="0" borderId="36" xfId="0" applyNumberFormat="1" applyFont="1" applyBorder="1" applyAlignment="1">
      <alignment horizontal="center" vertical="center"/>
    </xf>
    <xf numFmtId="0" fontId="9" fillId="2" borderId="28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6" fillId="2" borderId="37" xfId="0" applyFont="1" applyFill="1" applyBorder="1" applyAlignment="1">
      <alignment horizontal="center"/>
    </xf>
    <xf numFmtId="0" fontId="6" fillId="2" borderId="38" xfId="0" applyFont="1" applyFill="1" applyBorder="1" applyAlignment="1">
      <alignment horizontal="center"/>
    </xf>
    <xf numFmtId="0" fontId="6" fillId="2" borderId="39" xfId="0" applyFont="1" applyFill="1" applyBorder="1" applyAlignment="1">
      <alignment horizontal="center"/>
    </xf>
    <xf numFmtId="1" fontId="14" fillId="0" borderId="21" xfId="0" applyNumberFormat="1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9" fillId="0" borderId="2" xfId="0" quotePrefix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7" fillId="0" borderId="2" xfId="0" quotePrefix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K72"/>
  <sheetViews>
    <sheetView tabSelected="1" zoomScale="55" zoomScaleNormal="55" zoomScaleSheetLayoutView="50" zoomScalePageLayoutView="55" workbookViewId="0">
      <selection activeCell="A2" sqref="A2:J4"/>
    </sheetView>
  </sheetViews>
  <sheetFormatPr baseColWidth="10" defaultColWidth="11.44140625" defaultRowHeight="21" x14ac:dyDescent="0.4"/>
  <cols>
    <col min="1" max="1" width="4.44140625" style="16" customWidth="1"/>
    <col min="2" max="2" width="6.6640625" style="16" bestFit="1" customWidth="1"/>
    <col min="3" max="3" width="56.6640625" style="16" customWidth="1"/>
    <col min="4" max="4" width="13.44140625" style="16" customWidth="1"/>
    <col min="5" max="5" width="27.88671875" style="16" customWidth="1"/>
    <col min="6" max="6" width="24" style="16" customWidth="1"/>
    <col min="7" max="7" width="19" style="16" customWidth="1"/>
    <col min="8" max="8" width="22.44140625" style="16" customWidth="1"/>
    <col min="9" max="9" width="20.109375" style="16" customWidth="1"/>
    <col min="10" max="10" width="4.109375" style="16" customWidth="1"/>
    <col min="11" max="11" width="7.109375" style="16" customWidth="1"/>
    <col min="12" max="12" width="4.5546875" style="16" customWidth="1"/>
    <col min="13" max="13" width="6.6640625" style="16" bestFit="1" customWidth="1"/>
    <col min="14" max="14" width="58.109375" style="16" customWidth="1"/>
    <col min="15" max="15" width="14.5546875" style="16" customWidth="1"/>
    <col min="16" max="16" width="30.109375" style="16" customWidth="1"/>
    <col min="17" max="17" width="18.44140625" style="16" customWidth="1"/>
    <col min="18" max="18" width="20" style="16" customWidth="1"/>
    <col min="19" max="19" width="21.44140625" style="16" customWidth="1"/>
    <col min="20" max="20" width="20.88671875" style="16" customWidth="1"/>
    <col min="21" max="21" width="4" style="16" customWidth="1"/>
    <col min="22" max="22" width="11.44140625" style="16"/>
    <col min="23" max="23" width="16.33203125" style="16" bestFit="1" customWidth="1"/>
    <col min="24" max="16384" width="11.44140625" style="16"/>
  </cols>
  <sheetData>
    <row r="1" spans="1:129" ht="21.6" thickBot="1" x14ac:dyDescent="0.45">
      <c r="DY1" s="16" t="s">
        <v>14</v>
      </c>
    </row>
    <row r="2" spans="1:129" ht="18" customHeight="1" thickTop="1" x14ac:dyDescent="0.4">
      <c r="A2" s="98" t="s">
        <v>60</v>
      </c>
      <c r="B2" s="99"/>
      <c r="C2" s="99"/>
      <c r="D2" s="99"/>
      <c r="E2" s="99"/>
      <c r="F2" s="99"/>
      <c r="G2" s="99"/>
      <c r="H2" s="99"/>
      <c r="I2" s="99"/>
      <c r="J2" s="100"/>
      <c r="K2" s="17"/>
      <c r="L2" s="92" t="s">
        <v>60</v>
      </c>
      <c r="M2" s="93"/>
      <c r="N2" s="93"/>
      <c r="O2" s="93"/>
      <c r="P2" s="93"/>
      <c r="Q2" s="93"/>
      <c r="R2" s="93"/>
      <c r="S2" s="93"/>
      <c r="T2" s="93"/>
      <c r="U2" s="94"/>
    </row>
    <row r="3" spans="1:129" ht="15" customHeight="1" x14ac:dyDescent="0.4">
      <c r="A3" s="101"/>
      <c r="B3" s="102"/>
      <c r="C3" s="102"/>
      <c r="D3" s="102"/>
      <c r="E3" s="102"/>
      <c r="F3" s="102"/>
      <c r="G3" s="102"/>
      <c r="H3" s="102"/>
      <c r="I3" s="102"/>
      <c r="J3" s="103"/>
      <c r="K3" s="17"/>
      <c r="L3" s="95"/>
      <c r="M3" s="96"/>
      <c r="N3" s="96"/>
      <c r="O3" s="96"/>
      <c r="P3" s="96"/>
      <c r="Q3" s="96"/>
      <c r="R3" s="96"/>
      <c r="S3" s="96"/>
      <c r="T3" s="96"/>
      <c r="U3" s="97"/>
    </row>
    <row r="4" spans="1:129" ht="15" customHeight="1" thickBot="1" x14ac:dyDescent="0.45">
      <c r="A4" s="101"/>
      <c r="B4" s="102"/>
      <c r="C4" s="102"/>
      <c r="D4" s="102"/>
      <c r="E4" s="102"/>
      <c r="F4" s="102"/>
      <c r="G4" s="102"/>
      <c r="H4" s="102"/>
      <c r="I4" s="102"/>
      <c r="J4" s="103"/>
      <c r="K4" s="17"/>
      <c r="L4" s="95"/>
      <c r="M4" s="96"/>
      <c r="N4" s="96"/>
      <c r="O4" s="96"/>
      <c r="P4" s="96"/>
      <c r="Q4" s="96"/>
      <c r="R4" s="96"/>
      <c r="S4" s="96"/>
      <c r="T4" s="96"/>
      <c r="U4" s="97"/>
    </row>
    <row r="5" spans="1:129" ht="18" customHeight="1" thickTop="1" x14ac:dyDescent="0.4">
      <c r="A5" s="104"/>
      <c r="B5" s="105"/>
      <c r="C5" s="105"/>
      <c r="D5" s="18"/>
      <c r="E5" s="18"/>
      <c r="F5" s="18" t="s">
        <v>8</v>
      </c>
      <c r="G5" s="18" t="s">
        <v>22</v>
      </c>
      <c r="H5" s="19" t="s">
        <v>21</v>
      </c>
      <c r="I5" s="19"/>
      <c r="J5" s="20"/>
      <c r="K5" s="21"/>
      <c r="L5" s="90"/>
      <c r="M5" s="91"/>
      <c r="N5" s="91"/>
      <c r="O5" s="18"/>
      <c r="P5" s="18"/>
      <c r="Q5" s="18" t="s">
        <v>8</v>
      </c>
      <c r="R5" s="18" t="s">
        <v>22</v>
      </c>
      <c r="S5" s="19" t="s">
        <v>21</v>
      </c>
      <c r="T5" s="19"/>
      <c r="U5" s="20"/>
      <c r="V5" s="22"/>
    </row>
    <row r="6" spans="1:129" ht="18" customHeight="1" x14ac:dyDescent="0.4">
      <c r="A6" s="23"/>
      <c r="B6" s="24"/>
      <c r="C6" s="24"/>
      <c r="D6" s="25"/>
      <c r="F6" s="25" t="s">
        <v>12</v>
      </c>
      <c r="G6" s="26"/>
      <c r="H6" s="26"/>
      <c r="I6" s="26"/>
      <c r="J6" s="27"/>
      <c r="K6" s="26"/>
      <c r="L6" s="23"/>
      <c r="M6" s="24"/>
      <c r="N6" s="24"/>
      <c r="O6" s="25"/>
      <c r="Q6" s="25" t="s">
        <v>9</v>
      </c>
      <c r="R6" s="26"/>
      <c r="S6" s="26"/>
      <c r="T6" s="26"/>
      <c r="U6" s="27"/>
      <c r="V6" s="22"/>
    </row>
    <row r="7" spans="1:129" ht="18" customHeight="1" x14ac:dyDescent="0.4">
      <c r="A7" s="28"/>
      <c r="B7" s="25"/>
      <c r="C7" s="29" t="s">
        <v>10</v>
      </c>
      <c r="D7" s="25"/>
      <c r="F7" s="25"/>
      <c r="G7" s="26"/>
      <c r="H7" s="26"/>
      <c r="I7" s="26"/>
      <c r="J7" s="27"/>
      <c r="K7" s="26"/>
      <c r="L7" s="28"/>
      <c r="M7" s="25"/>
      <c r="N7" s="29" t="s">
        <v>10</v>
      </c>
      <c r="O7" s="25"/>
      <c r="Q7" s="25"/>
      <c r="R7" s="26"/>
      <c r="S7" s="26"/>
      <c r="T7" s="26"/>
      <c r="U7" s="27"/>
      <c r="V7" s="22"/>
    </row>
    <row r="8" spans="1:129" ht="12" customHeight="1" thickBot="1" x14ac:dyDescent="0.45">
      <c r="A8" s="28"/>
      <c r="B8" s="26"/>
      <c r="C8" s="24"/>
      <c r="D8" s="25"/>
      <c r="E8" s="25"/>
      <c r="H8" s="25"/>
      <c r="I8" s="25"/>
      <c r="J8" s="27"/>
      <c r="K8" s="26"/>
      <c r="L8" s="28"/>
      <c r="M8" s="107"/>
      <c r="N8" s="107"/>
      <c r="O8" s="25"/>
      <c r="P8" s="25"/>
      <c r="S8" s="25"/>
      <c r="T8" s="25"/>
      <c r="U8" s="27"/>
      <c r="V8" s="22"/>
    </row>
    <row r="9" spans="1:129" ht="21.6" thickBot="1" x14ac:dyDescent="0.45">
      <c r="A9" s="22"/>
      <c r="B9" s="76" t="s">
        <v>0</v>
      </c>
      <c r="C9" s="79" t="s">
        <v>7</v>
      </c>
      <c r="D9" s="79" t="s">
        <v>1</v>
      </c>
      <c r="E9" s="79" t="s">
        <v>3</v>
      </c>
      <c r="F9" s="79" t="s">
        <v>4</v>
      </c>
      <c r="G9" s="79" t="s">
        <v>5</v>
      </c>
      <c r="H9" s="79" t="s">
        <v>6</v>
      </c>
      <c r="I9" s="80" t="s">
        <v>2</v>
      </c>
      <c r="J9" s="30"/>
      <c r="L9" s="22"/>
      <c r="M9" s="76" t="s">
        <v>0</v>
      </c>
      <c r="N9" s="77" t="s">
        <v>7</v>
      </c>
      <c r="O9" s="77" t="s">
        <v>1</v>
      </c>
      <c r="P9" s="77" t="s">
        <v>3</v>
      </c>
      <c r="Q9" s="78" t="s">
        <v>4</v>
      </c>
      <c r="R9" s="77" t="s">
        <v>5</v>
      </c>
      <c r="S9" s="78" t="s">
        <v>6</v>
      </c>
      <c r="T9" s="77" t="s">
        <v>2</v>
      </c>
      <c r="U9" s="30"/>
      <c r="V9" s="22"/>
    </row>
    <row r="10" spans="1:129" x14ac:dyDescent="0.4">
      <c r="A10" s="22"/>
      <c r="B10" s="72">
        <v>1</v>
      </c>
      <c r="C10" s="84" t="s">
        <v>59</v>
      </c>
      <c r="D10" s="47">
        <v>4</v>
      </c>
      <c r="E10" s="89" t="s">
        <v>23</v>
      </c>
      <c r="F10" s="47">
        <v>11500</v>
      </c>
      <c r="G10" s="47">
        <v>60.3</v>
      </c>
      <c r="H10" s="74">
        <f>+G10*F10/1000</f>
        <v>693.45</v>
      </c>
      <c r="I10" s="75">
        <f>+H10*D10</f>
        <v>2773.8</v>
      </c>
      <c r="J10" s="45"/>
      <c r="K10" s="3"/>
      <c r="L10" s="22"/>
      <c r="M10" s="72">
        <v>1</v>
      </c>
      <c r="N10" s="84" t="s">
        <v>59</v>
      </c>
      <c r="O10" s="47">
        <v>14</v>
      </c>
      <c r="P10" s="89" t="s">
        <v>23</v>
      </c>
      <c r="Q10" s="73">
        <v>12000</v>
      </c>
      <c r="R10" s="47">
        <v>60.3</v>
      </c>
      <c r="S10" s="74">
        <f t="shared" ref="S10" si="0">+R10*Q10/1000</f>
        <v>723.6</v>
      </c>
      <c r="T10" s="75">
        <f t="shared" ref="T10" si="1">+S10*O10</f>
        <v>10130.4</v>
      </c>
      <c r="U10" s="30"/>
      <c r="V10" s="31"/>
      <c r="W10" s="14"/>
    </row>
    <row r="11" spans="1:129" x14ac:dyDescent="0.4">
      <c r="A11" s="22"/>
      <c r="B11" s="62">
        <v>2</v>
      </c>
      <c r="C11" s="85"/>
      <c r="D11" s="5">
        <v>4</v>
      </c>
      <c r="E11" s="89"/>
      <c r="F11" s="5">
        <v>8850</v>
      </c>
      <c r="G11" s="5">
        <v>60.3</v>
      </c>
      <c r="H11" s="1">
        <f>+G11*F11/1000</f>
        <v>533.65499999999997</v>
      </c>
      <c r="I11" s="63">
        <f>+H11*D11</f>
        <v>2134.62</v>
      </c>
      <c r="J11" s="45"/>
      <c r="K11" s="3"/>
      <c r="L11" s="22"/>
      <c r="M11" s="62">
        <v>2</v>
      </c>
      <c r="N11" s="85"/>
      <c r="O11" s="5"/>
      <c r="P11" s="89"/>
      <c r="Q11" s="11"/>
      <c r="R11" s="5"/>
      <c r="S11" s="1"/>
      <c r="T11" s="63"/>
      <c r="U11" s="30"/>
      <c r="V11" s="31"/>
      <c r="W11" s="15"/>
    </row>
    <row r="12" spans="1:129" x14ac:dyDescent="0.4">
      <c r="A12" s="22"/>
      <c r="B12" s="62">
        <v>3</v>
      </c>
      <c r="C12" s="32" t="s">
        <v>46</v>
      </c>
      <c r="D12" s="5">
        <v>4</v>
      </c>
      <c r="E12" s="84"/>
      <c r="F12" s="32">
        <v>550</v>
      </c>
      <c r="G12" s="32">
        <v>60.3</v>
      </c>
      <c r="H12" s="33">
        <f>+G12*F12/1000</f>
        <v>33.164999999999999</v>
      </c>
      <c r="I12" s="64">
        <f>+H12*D12</f>
        <v>132.66</v>
      </c>
      <c r="J12" s="45"/>
      <c r="K12" s="3"/>
      <c r="L12" s="22"/>
      <c r="M12" s="62">
        <v>3</v>
      </c>
      <c r="N12" s="32" t="s">
        <v>46</v>
      </c>
      <c r="O12" s="5"/>
      <c r="P12" s="84"/>
      <c r="Q12" s="11"/>
      <c r="R12" s="5"/>
      <c r="S12" s="1"/>
      <c r="T12" s="63"/>
      <c r="U12" s="30"/>
      <c r="V12" s="31"/>
      <c r="W12" s="15"/>
    </row>
    <row r="13" spans="1:129" x14ac:dyDescent="0.4">
      <c r="A13" s="22"/>
      <c r="B13" s="62">
        <v>4</v>
      </c>
      <c r="C13" s="34"/>
      <c r="D13" s="2"/>
      <c r="E13" s="2"/>
      <c r="F13" s="2"/>
      <c r="G13" s="2"/>
      <c r="H13" s="2"/>
      <c r="I13" s="65"/>
      <c r="J13" s="45"/>
      <c r="K13" s="3"/>
      <c r="L13" s="22"/>
      <c r="M13" s="62">
        <v>4</v>
      </c>
      <c r="N13" s="34"/>
      <c r="O13" s="2"/>
      <c r="P13" s="2"/>
      <c r="Q13" s="2"/>
      <c r="R13" s="2"/>
      <c r="S13" s="2"/>
      <c r="T13" s="65"/>
      <c r="U13" s="30"/>
      <c r="V13" s="31"/>
      <c r="W13" s="15"/>
    </row>
    <row r="14" spans="1:129" x14ac:dyDescent="0.4">
      <c r="A14" s="22"/>
      <c r="B14" s="62">
        <v>5</v>
      </c>
      <c r="C14" s="86" t="s">
        <v>56</v>
      </c>
      <c r="D14" s="5">
        <v>4</v>
      </c>
      <c r="E14" s="106" t="s">
        <v>23</v>
      </c>
      <c r="F14" s="5">
        <v>12000</v>
      </c>
      <c r="G14" s="5">
        <v>60.3</v>
      </c>
      <c r="H14" s="1">
        <f t="shared" ref="H14" si="2">+G14*F14/1000</f>
        <v>723.6</v>
      </c>
      <c r="I14" s="63">
        <f t="shared" ref="I14" si="3">+H14*D14</f>
        <v>2894.4</v>
      </c>
      <c r="J14" s="45"/>
      <c r="K14" s="3"/>
      <c r="L14" s="22"/>
      <c r="M14" s="62">
        <v>5</v>
      </c>
      <c r="N14" s="86" t="s">
        <v>56</v>
      </c>
      <c r="O14" s="5"/>
      <c r="P14" s="87" t="s">
        <v>23</v>
      </c>
      <c r="Q14" s="11"/>
      <c r="R14" s="35"/>
      <c r="S14" s="1"/>
      <c r="T14" s="63"/>
      <c r="U14" s="30"/>
      <c r="V14" s="22"/>
      <c r="W14" s="15"/>
    </row>
    <row r="15" spans="1:129" x14ac:dyDescent="0.4">
      <c r="A15" s="22"/>
      <c r="B15" s="62">
        <v>6</v>
      </c>
      <c r="C15" s="86"/>
      <c r="D15" s="5">
        <v>4</v>
      </c>
      <c r="E15" s="84"/>
      <c r="F15" s="5">
        <v>4800</v>
      </c>
      <c r="G15" s="5">
        <v>60.3</v>
      </c>
      <c r="H15" s="1">
        <f>+G15*F15/1000</f>
        <v>289.44</v>
      </c>
      <c r="I15" s="63">
        <f>+H15*D15</f>
        <v>1157.76</v>
      </c>
      <c r="J15" s="45"/>
      <c r="K15" s="3"/>
      <c r="L15" s="22"/>
      <c r="M15" s="62">
        <v>6</v>
      </c>
      <c r="N15" s="86"/>
      <c r="O15" s="5"/>
      <c r="P15" s="88"/>
      <c r="Q15" s="11"/>
      <c r="R15" s="35"/>
      <c r="S15" s="1"/>
      <c r="T15" s="63"/>
      <c r="U15" s="30"/>
      <c r="V15" s="22"/>
      <c r="W15" s="15"/>
    </row>
    <row r="16" spans="1:129" x14ac:dyDescent="0.4">
      <c r="A16" s="22"/>
      <c r="B16" s="62">
        <v>7</v>
      </c>
      <c r="C16" s="2"/>
      <c r="D16" s="2"/>
      <c r="E16" s="2"/>
      <c r="F16" s="2"/>
      <c r="G16" s="36"/>
      <c r="H16" s="1"/>
      <c r="I16" s="63"/>
      <c r="J16" s="45"/>
      <c r="K16" s="3"/>
      <c r="L16" s="22"/>
      <c r="M16" s="62">
        <v>7</v>
      </c>
      <c r="N16" s="2"/>
      <c r="O16" s="2"/>
      <c r="P16" s="2"/>
      <c r="Q16" s="2"/>
      <c r="R16" s="2"/>
      <c r="S16" s="2"/>
      <c r="T16" s="65"/>
      <c r="U16" s="30"/>
      <c r="V16" s="22"/>
      <c r="W16" s="15"/>
    </row>
    <row r="17" spans="1:23" x14ac:dyDescent="0.4">
      <c r="A17" s="22"/>
      <c r="B17" s="62">
        <v>8</v>
      </c>
      <c r="C17" s="35" t="s">
        <v>25</v>
      </c>
      <c r="D17" s="5">
        <f>9*4</f>
        <v>36</v>
      </c>
      <c r="E17" s="5" t="s">
        <v>24</v>
      </c>
      <c r="F17" s="5">
        <v>1000</v>
      </c>
      <c r="G17" s="5">
        <v>16.7</v>
      </c>
      <c r="H17" s="1">
        <f>+G17*F17/1000</f>
        <v>16.7</v>
      </c>
      <c r="I17" s="63">
        <f>+H17*D17</f>
        <v>601.19999999999993</v>
      </c>
      <c r="J17" s="45"/>
      <c r="K17" s="3"/>
      <c r="L17" s="22"/>
      <c r="M17" s="62">
        <v>8</v>
      </c>
      <c r="N17" s="35" t="s">
        <v>25</v>
      </c>
      <c r="O17" s="5">
        <v>3</v>
      </c>
      <c r="P17" s="37" t="s">
        <v>24</v>
      </c>
      <c r="Q17" s="12">
        <v>12000</v>
      </c>
      <c r="R17" s="35">
        <v>16.7</v>
      </c>
      <c r="S17" s="1">
        <f t="shared" ref="S17" si="4">+R17*Q17/1000</f>
        <v>200.4</v>
      </c>
      <c r="T17" s="63">
        <f t="shared" ref="T17" si="5">+S17*O17</f>
        <v>601.20000000000005</v>
      </c>
      <c r="U17" s="30"/>
      <c r="V17" s="31"/>
      <c r="W17" s="14"/>
    </row>
    <row r="18" spans="1:23" x14ac:dyDescent="0.4">
      <c r="A18" s="22"/>
      <c r="B18" s="62">
        <v>9</v>
      </c>
      <c r="C18" s="2"/>
      <c r="D18" s="2"/>
      <c r="E18" s="2"/>
      <c r="F18" s="2"/>
      <c r="G18" s="36"/>
      <c r="H18" s="1"/>
      <c r="I18" s="63"/>
      <c r="J18" s="45"/>
      <c r="K18" s="3"/>
      <c r="L18" s="22"/>
      <c r="M18" s="62">
        <v>9</v>
      </c>
      <c r="N18" s="2"/>
      <c r="O18" s="2"/>
      <c r="P18" s="2"/>
      <c r="Q18" s="11"/>
      <c r="R18" s="36"/>
      <c r="S18" s="1"/>
      <c r="T18" s="63"/>
      <c r="U18" s="30"/>
      <c r="V18" s="31"/>
      <c r="W18" s="15"/>
    </row>
    <row r="19" spans="1:23" x14ac:dyDescent="0.4">
      <c r="A19" s="22"/>
      <c r="B19" s="62">
        <v>10</v>
      </c>
      <c r="C19" s="82" t="s">
        <v>16</v>
      </c>
      <c r="D19" s="5">
        <v>11</v>
      </c>
      <c r="E19" s="106" t="s">
        <v>41</v>
      </c>
      <c r="F19" s="5">
        <v>12150</v>
      </c>
      <c r="G19" s="5">
        <v>19.899999999999999</v>
      </c>
      <c r="H19" s="1">
        <f>+G19*F19/1000</f>
        <v>241.78499999999997</v>
      </c>
      <c r="I19" s="63">
        <f>+H19*D19</f>
        <v>2659.6349999999998</v>
      </c>
      <c r="J19" s="45"/>
      <c r="K19" s="3"/>
      <c r="L19" s="22"/>
      <c r="M19" s="62">
        <v>10</v>
      </c>
      <c r="N19" s="82" t="s">
        <v>16</v>
      </c>
      <c r="O19" s="5">
        <v>22</v>
      </c>
      <c r="P19" s="106" t="s">
        <v>41</v>
      </c>
      <c r="Q19" s="12">
        <v>12000</v>
      </c>
      <c r="R19" s="38">
        <v>19.899999999999999</v>
      </c>
      <c r="S19" s="1">
        <f t="shared" ref="S19" si="6">+R19*Q19/1000</f>
        <v>238.79999999999998</v>
      </c>
      <c r="T19" s="63">
        <f>+S19*O19</f>
        <v>5253.5999999999995</v>
      </c>
      <c r="U19" s="30"/>
      <c r="V19" s="31"/>
      <c r="W19" s="14"/>
    </row>
    <row r="20" spans="1:23" x14ac:dyDescent="0.4">
      <c r="A20" s="22"/>
      <c r="B20" s="62">
        <v>11</v>
      </c>
      <c r="C20" s="83"/>
      <c r="D20" s="5">
        <v>11</v>
      </c>
      <c r="E20" s="84"/>
      <c r="F20" s="5">
        <v>8150</v>
      </c>
      <c r="G20" s="5">
        <v>19.899999999999999</v>
      </c>
      <c r="H20" s="1">
        <f>+G20*F20/1000</f>
        <v>162.185</v>
      </c>
      <c r="I20" s="63">
        <f>+H20*D20</f>
        <v>1784.0350000000001</v>
      </c>
      <c r="J20" s="45"/>
      <c r="K20" s="3"/>
      <c r="L20" s="22"/>
      <c r="M20" s="62">
        <v>11</v>
      </c>
      <c r="N20" s="83"/>
      <c r="O20" s="5"/>
      <c r="P20" s="84"/>
      <c r="Q20" s="11"/>
      <c r="R20" s="35"/>
      <c r="S20" s="1"/>
      <c r="T20" s="63"/>
      <c r="U20" s="30"/>
      <c r="V20" s="31"/>
      <c r="W20" s="15"/>
    </row>
    <row r="21" spans="1:23" x14ac:dyDescent="0.4">
      <c r="A21" s="22"/>
      <c r="B21" s="62">
        <v>12</v>
      </c>
      <c r="C21" s="2"/>
      <c r="D21" s="2"/>
      <c r="E21" s="2"/>
      <c r="F21" s="2"/>
      <c r="G21" s="36"/>
      <c r="H21" s="1"/>
      <c r="I21" s="63"/>
      <c r="J21" s="45"/>
      <c r="K21" s="3"/>
      <c r="L21" s="22"/>
      <c r="M21" s="62">
        <v>12</v>
      </c>
      <c r="N21" s="2"/>
      <c r="O21" s="2"/>
      <c r="P21" s="2"/>
      <c r="Q21" s="2"/>
      <c r="R21" s="2"/>
      <c r="S21" s="2"/>
      <c r="T21" s="65"/>
      <c r="U21" s="30"/>
      <c r="V21" s="31"/>
      <c r="W21" s="15"/>
    </row>
    <row r="22" spans="1:23" x14ac:dyDescent="0.4">
      <c r="A22" s="22"/>
      <c r="B22" s="62">
        <v>13</v>
      </c>
      <c r="C22" s="35" t="s">
        <v>26</v>
      </c>
      <c r="D22" s="39">
        <f>10*4</f>
        <v>40</v>
      </c>
      <c r="E22" s="5" t="s">
        <v>27</v>
      </c>
      <c r="F22" s="32">
        <v>2110</v>
      </c>
      <c r="G22" s="40">
        <v>24.7</v>
      </c>
      <c r="H22" s="1">
        <f>+G22*F22/1000</f>
        <v>52.116999999999997</v>
      </c>
      <c r="I22" s="63">
        <f>+H22*D22</f>
        <v>2084.6799999999998</v>
      </c>
      <c r="J22" s="45"/>
      <c r="K22" s="3"/>
      <c r="L22" s="22"/>
      <c r="M22" s="62">
        <v>13</v>
      </c>
      <c r="N22" s="35" t="s">
        <v>26</v>
      </c>
      <c r="O22" s="32">
        <v>8</v>
      </c>
      <c r="P22" s="5" t="s">
        <v>27</v>
      </c>
      <c r="Q22" s="12">
        <v>12000</v>
      </c>
      <c r="R22" s="38">
        <v>24.7</v>
      </c>
      <c r="S22" s="1">
        <f t="shared" ref="S22" si="7">+R22*Q22/1000</f>
        <v>296.39999999999998</v>
      </c>
      <c r="T22" s="63">
        <f t="shared" ref="T22" si="8">+S22*O22</f>
        <v>2371.1999999999998</v>
      </c>
      <c r="U22" s="30"/>
      <c r="V22" s="31"/>
      <c r="W22" s="14"/>
    </row>
    <row r="23" spans="1:23" x14ac:dyDescent="0.4">
      <c r="A23" s="22"/>
      <c r="B23" s="62">
        <v>14</v>
      </c>
      <c r="C23" s="2"/>
      <c r="D23" s="2"/>
      <c r="E23" s="2"/>
      <c r="F23" s="2"/>
      <c r="G23" s="2"/>
      <c r="H23" s="2"/>
      <c r="I23" s="65"/>
      <c r="J23" s="45"/>
      <c r="K23" s="3"/>
      <c r="L23" s="22"/>
      <c r="M23" s="62">
        <v>14</v>
      </c>
      <c r="N23" s="2"/>
      <c r="O23" s="2"/>
      <c r="P23" s="2"/>
      <c r="Q23" s="11"/>
      <c r="R23" s="2"/>
      <c r="S23" s="2"/>
      <c r="T23" s="65"/>
      <c r="U23" s="30"/>
      <c r="V23" s="31"/>
      <c r="W23" s="15"/>
    </row>
    <row r="24" spans="1:23" x14ac:dyDescent="0.4">
      <c r="A24" s="22"/>
      <c r="B24" s="62">
        <v>15</v>
      </c>
      <c r="C24" s="35" t="s">
        <v>28</v>
      </c>
      <c r="D24" s="5">
        <v>2</v>
      </c>
      <c r="E24" s="37" t="s">
        <v>40</v>
      </c>
      <c r="F24" s="5">
        <v>20350</v>
      </c>
      <c r="G24" s="5">
        <v>30.7</v>
      </c>
      <c r="H24" s="1">
        <f>+G24*F24/1000</f>
        <v>624.745</v>
      </c>
      <c r="I24" s="63">
        <f>+H24*D24</f>
        <v>1249.49</v>
      </c>
      <c r="J24" s="45"/>
      <c r="K24" s="3"/>
      <c r="L24" s="22"/>
      <c r="M24" s="62">
        <v>15</v>
      </c>
      <c r="N24" s="35" t="s">
        <v>28</v>
      </c>
      <c r="O24" s="5">
        <v>4</v>
      </c>
      <c r="P24" s="37" t="s">
        <v>40</v>
      </c>
      <c r="Q24" s="12">
        <v>12000</v>
      </c>
      <c r="R24" s="5">
        <v>30.7</v>
      </c>
      <c r="S24" s="1">
        <f>+R24*Q24/1000</f>
        <v>368.4</v>
      </c>
      <c r="T24" s="63">
        <f>+S24*O24</f>
        <v>1473.6</v>
      </c>
      <c r="U24" s="30"/>
      <c r="V24" s="31"/>
      <c r="W24" s="14"/>
    </row>
    <row r="25" spans="1:23" x14ac:dyDescent="0.4">
      <c r="A25" s="22"/>
      <c r="B25" s="62">
        <v>16</v>
      </c>
      <c r="C25" s="41"/>
      <c r="D25" s="36"/>
      <c r="E25" s="36"/>
      <c r="F25" s="36"/>
      <c r="G25" s="36"/>
      <c r="H25" s="42"/>
      <c r="I25" s="66"/>
      <c r="J25" s="45"/>
      <c r="K25" s="3"/>
      <c r="L25" s="22"/>
      <c r="M25" s="62">
        <v>16</v>
      </c>
      <c r="N25" s="41"/>
      <c r="O25" s="36"/>
      <c r="P25" s="36"/>
      <c r="Q25" s="2"/>
      <c r="R25" s="36"/>
      <c r="S25" s="2"/>
      <c r="T25" s="65"/>
      <c r="U25" s="30"/>
      <c r="V25" s="31"/>
      <c r="W25" s="15"/>
    </row>
    <row r="26" spans="1:23" x14ac:dyDescent="0.4">
      <c r="A26" s="22"/>
      <c r="B26" s="62">
        <v>17</v>
      </c>
      <c r="C26" s="81" t="s">
        <v>35</v>
      </c>
      <c r="D26" s="6">
        <v>16</v>
      </c>
      <c r="E26" s="6" t="s">
        <v>36</v>
      </c>
      <c r="F26" s="7">
        <v>500</v>
      </c>
      <c r="G26" s="8">
        <v>5.58</v>
      </c>
      <c r="H26" s="9">
        <f>G26*F26/1000</f>
        <v>2.79</v>
      </c>
      <c r="I26" s="10">
        <f>H26*D26</f>
        <v>44.64</v>
      </c>
      <c r="J26" s="45"/>
      <c r="K26" s="3"/>
      <c r="L26" s="22"/>
      <c r="M26" s="62">
        <v>17</v>
      </c>
      <c r="N26" s="81" t="s">
        <v>35</v>
      </c>
      <c r="O26" s="6">
        <v>16</v>
      </c>
      <c r="P26" s="6" t="s">
        <v>36</v>
      </c>
      <c r="Q26" s="12">
        <v>500</v>
      </c>
      <c r="R26" s="8">
        <v>5.58</v>
      </c>
      <c r="S26" s="9">
        <f>R26*Q26/1000</f>
        <v>2.79</v>
      </c>
      <c r="T26" s="10">
        <f>S26*O26</f>
        <v>44.64</v>
      </c>
      <c r="U26" s="30"/>
      <c r="V26" s="31"/>
      <c r="W26" s="15"/>
    </row>
    <row r="27" spans="1:23" x14ac:dyDescent="0.4">
      <c r="A27" s="22"/>
      <c r="B27" s="62">
        <v>18</v>
      </c>
      <c r="C27" s="43"/>
      <c r="D27" s="2"/>
      <c r="E27" s="2"/>
      <c r="F27" s="2"/>
      <c r="G27" s="2"/>
      <c r="H27" s="2"/>
      <c r="I27" s="65"/>
      <c r="J27" s="45"/>
      <c r="K27" s="3"/>
      <c r="L27" s="22"/>
      <c r="M27" s="62">
        <v>18</v>
      </c>
      <c r="N27" s="43"/>
      <c r="O27" s="2"/>
      <c r="P27" s="2"/>
      <c r="Q27" s="2"/>
      <c r="R27" s="2"/>
      <c r="S27" s="2"/>
      <c r="T27" s="65"/>
      <c r="U27" s="30"/>
      <c r="V27" s="31"/>
      <c r="W27" s="15"/>
    </row>
    <row r="28" spans="1:23" x14ac:dyDescent="0.4">
      <c r="A28" s="22"/>
      <c r="B28" s="62">
        <v>19</v>
      </c>
      <c r="C28" s="82" t="s">
        <v>58</v>
      </c>
      <c r="D28" s="5">
        <v>4</v>
      </c>
      <c r="E28" s="32" t="s">
        <v>29</v>
      </c>
      <c r="F28" s="5" t="s">
        <v>17</v>
      </c>
      <c r="G28" s="5" t="s">
        <v>17</v>
      </c>
      <c r="H28" s="1">
        <f>0.49*0.24*8*12</f>
        <v>11.2896</v>
      </c>
      <c r="I28" s="63">
        <f>H28*D28</f>
        <v>45.1584</v>
      </c>
      <c r="J28" s="45"/>
      <c r="K28" s="3"/>
      <c r="L28" s="22"/>
      <c r="M28" s="62">
        <v>19</v>
      </c>
      <c r="N28" s="82" t="s">
        <v>58</v>
      </c>
      <c r="O28" s="5">
        <v>1</v>
      </c>
      <c r="P28" s="32" t="s">
        <v>42</v>
      </c>
      <c r="Q28" s="5" t="s">
        <v>17</v>
      </c>
      <c r="R28" s="5" t="s">
        <v>17</v>
      </c>
      <c r="S28" s="1">
        <f>2*1*8*12</f>
        <v>192</v>
      </c>
      <c r="T28" s="63">
        <f>S28*O28</f>
        <v>192</v>
      </c>
      <c r="U28" s="30"/>
      <c r="V28" s="31"/>
      <c r="W28" s="14"/>
    </row>
    <row r="29" spans="1:23" x14ac:dyDescent="0.4">
      <c r="A29" s="22"/>
      <c r="B29" s="62">
        <v>20</v>
      </c>
      <c r="C29" s="83"/>
      <c r="D29" s="5">
        <v>4</v>
      </c>
      <c r="E29" s="40" t="s">
        <v>30</v>
      </c>
      <c r="F29" s="5" t="s">
        <v>17</v>
      </c>
      <c r="G29" s="5" t="s">
        <v>17</v>
      </c>
      <c r="H29" s="1">
        <f>0.45*0.135*8*8</f>
        <v>3.8880000000000003</v>
      </c>
      <c r="I29" s="63">
        <f>H29*D29</f>
        <v>15.552000000000001</v>
      </c>
      <c r="J29" s="45"/>
      <c r="K29" s="3"/>
      <c r="L29" s="22"/>
      <c r="M29" s="62">
        <v>20</v>
      </c>
      <c r="N29" s="83"/>
      <c r="O29" s="5">
        <v>2</v>
      </c>
      <c r="P29" s="40" t="s">
        <v>44</v>
      </c>
      <c r="Q29" s="5"/>
      <c r="R29" s="5"/>
      <c r="S29" s="1">
        <f>2*1*8*8</f>
        <v>128</v>
      </c>
      <c r="T29" s="63">
        <f>S29*O29</f>
        <v>256</v>
      </c>
      <c r="U29" s="30"/>
      <c r="V29" s="31"/>
      <c r="W29" s="14"/>
    </row>
    <row r="30" spans="1:23" x14ac:dyDescent="0.4">
      <c r="A30" s="22"/>
      <c r="B30" s="62">
        <v>21</v>
      </c>
      <c r="C30" s="32" t="s">
        <v>47</v>
      </c>
      <c r="D30" s="32">
        <v>22</v>
      </c>
      <c r="E30" s="32" t="s">
        <v>48</v>
      </c>
      <c r="F30" s="32" t="s">
        <v>17</v>
      </c>
      <c r="G30" s="32" t="s">
        <v>17</v>
      </c>
      <c r="H30" s="33">
        <f>0.12*0.12*8*8</f>
        <v>0.92159999999999997</v>
      </c>
      <c r="I30" s="64">
        <f>H30*D30</f>
        <v>20.275199999999998</v>
      </c>
      <c r="J30" s="45"/>
      <c r="K30" s="3"/>
      <c r="L30" s="22"/>
      <c r="M30" s="62">
        <v>21</v>
      </c>
      <c r="N30" s="32" t="s">
        <v>47</v>
      </c>
      <c r="O30" s="5"/>
      <c r="P30" s="40"/>
      <c r="Q30" s="5"/>
      <c r="R30" s="5"/>
      <c r="S30" s="1"/>
      <c r="T30" s="63"/>
      <c r="U30" s="30"/>
      <c r="V30" s="31"/>
      <c r="W30" s="14"/>
    </row>
    <row r="31" spans="1:23" x14ac:dyDescent="0.4">
      <c r="A31" s="22"/>
      <c r="B31" s="62">
        <v>22</v>
      </c>
      <c r="C31" s="32" t="s">
        <v>52</v>
      </c>
      <c r="D31" s="32">
        <v>88</v>
      </c>
      <c r="E31" s="32" t="s">
        <v>51</v>
      </c>
      <c r="F31" s="32" t="s">
        <v>17</v>
      </c>
      <c r="G31" s="32" t="s">
        <v>17</v>
      </c>
      <c r="H31" s="33">
        <f>0.1*0.06*8*8</f>
        <v>0.38400000000000001</v>
      </c>
      <c r="I31" s="64">
        <f>H31*D31</f>
        <v>33.792000000000002</v>
      </c>
      <c r="J31" s="45"/>
      <c r="K31" s="3"/>
      <c r="L31" s="22"/>
      <c r="M31" s="62">
        <v>22</v>
      </c>
      <c r="N31" s="32" t="s">
        <v>52</v>
      </c>
      <c r="O31" s="5"/>
      <c r="P31" s="40"/>
      <c r="Q31" s="5"/>
      <c r="R31" s="5"/>
      <c r="S31" s="1"/>
      <c r="T31" s="63"/>
      <c r="U31" s="30"/>
      <c r="V31" s="31"/>
      <c r="W31" s="14"/>
    </row>
    <row r="32" spans="1:23" x14ac:dyDescent="0.4">
      <c r="A32" s="22"/>
      <c r="B32" s="62">
        <v>23</v>
      </c>
      <c r="C32" s="2"/>
      <c r="D32" s="2"/>
      <c r="E32" s="2"/>
      <c r="F32" s="2"/>
      <c r="G32" s="2"/>
      <c r="H32" s="2"/>
      <c r="I32" s="65"/>
      <c r="J32" s="45"/>
      <c r="K32" s="3"/>
      <c r="L32" s="22"/>
      <c r="M32" s="62">
        <v>23</v>
      </c>
      <c r="N32" s="2"/>
      <c r="O32" s="2"/>
      <c r="P32" s="2"/>
      <c r="Q32" s="2"/>
      <c r="R32" s="2"/>
      <c r="S32" s="2"/>
      <c r="T32" s="65"/>
      <c r="U32" s="30"/>
      <c r="V32" s="31"/>
      <c r="W32" s="15"/>
    </row>
    <row r="33" spans="1:141" x14ac:dyDescent="0.4">
      <c r="A33" s="22"/>
      <c r="B33" s="62">
        <v>24</v>
      </c>
      <c r="C33" s="5" t="s">
        <v>31</v>
      </c>
      <c r="D33" s="5">
        <f>20*4</f>
        <v>80</v>
      </c>
      <c r="E33" s="44" t="s">
        <v>32</v>
      </c>
      <c r="F33" s="5" t="s">
        <v>17</v>
      </c>
      <c r="G33" s="5" t="s">
        <v>17</v>
      </c>
      <c r="H33" s="1">
        <f>0.25*0.315*8*10</f>
        <v>6.3</v>
      </c>
      <c r="I33" s="63">
        <f>H33*D33</f>
        <v>504</v>
      </c>
      <c r="J33" s="45"/>
      <c r="K33" s="3"/>
      <c r="L33" s="22"/>
      <c r="M33" s="62">
        <v>24</v>
      </c>
      <c r="N33" s="5" t="s">
        <v>31</v>
      </c>
      <c r="O33" s="5">
        <v>4</v>
      </c>
      <c r="P33" s="44" t="s">
        <v>45</v>
      </c>
      <c r="Q33" s="5" t="s">
        <v>17</v>
      </c>
      <c r="R33" s="5" t="s">
        <v>17</v>
      </c>
      <c r="S33" s="1">
        <f>2*1*8*10</f>
        <v>160</v>
      </c>
      <c r="T33" s="63">
        <f>S33*O33</f>
        <v>640</v>
      </c>
      <c r="U33" s="30"/>
      <c r="W33" s="14"/>
    </row>
    <row r="34" spans="1:141" x14ac:dyDescent="0.4">
      <c r="A34" s="22"/>
      <c r="B34" s="62">
        <v>25</v>
      </c>
      <c r="C34" s="32" t="s">
        <v>49</v>
      </c>
      <c r="D34" s="32">
        <v>8</v>
      </c>
      <c r="E34" s="32" t="s">
        <v>50</v>
      </c>
      <c r="F34" s="32" t="s">
        <v>17</v>
      </c>
      <c r="G34" s="32" t="s">
        <v>17</v>
      </c>
      <c r="H34" s="33">
        <f>0.26*0.25*8*10</f>
        <v>5.2</v>
      </c>
      <c r="I34" s="64">
        <f>H34*D34</f>
        <v>41.6</v>
      </c>
      <c r="J34" s="45"/>
      <c r="K34" s="3"/>
      <c r="L34" s="22"/>
      <c r="M34" s="62">
        <v>25</v>
      </c>
      <c r="N34" s="32" t="s">
        <v>49</v>
      </c>
      <c r="O34" s="5"/>
      <c r="P34" s="44"/>
      <c r="Q34" s="5"/>
      <c r="R34" s="5"/>
      <c r="S34" s="1"/>
      <c r="T34" s="63"/>
      <c r="U34" s="30"/>
      <c r="W34" s="14"/>
    </row>
    <row r="35" spans="1:141" x14ac:dyDescent="0.4">
      <c r="A35" s="22"/>
      <c r="B35" s="62">
        <v>26</v>
      </c>
      <c r="C35" s="2"/>
      <c r="D35" s="2"/>
      <c r="E35" s="2"/>
      <c r="F35" s="2"/>
      <c r="G35" s="2"/>
      <c r="H35" s="2"/>
      <c r="I35" s="65"/>
      <c r="J35" s="45"/>
      <c r="K35" s="46"/>
      <c r="M35" s="62">
        <v>26</v>
      </c>
      <c r="N35" s="2"/>
      <c r="O35" s="2"/>
      <c r="P35" s="2"/>
      <c r="Q35" s="4"/>
      <c r="R35" s="4"/>
      <c r="S35" s="1"/>
      <c r="T35" s="63"/>
      <c r="U35" s="30"/>
      <c r="W35" s="15"/>
    </row>
    <row r="36" spans="1:141" x14ac:dyDescent="0.4">
      <c r="A36" s="22"/>
      <c r="B36" s="62">
        <v>27</v>
      </c>
      <c r="C36" s="82" t="s">
        <v>18</v>
      </c>
      <c r="D36" s="47">
        <f>5*11</f>
        <v>55</v>
      </c>
      <c r="E36" s="40" t="s">
        <v>33</v>
      </c>
      <c r="F36" s="5" t="s">
        <v>17</v>
      </c>
      <c r="G36" s="5" t="s">
        <v>17</v>
      </c>
      <c r="H36" s="1">
        <f>0.21*0.16*8*8</f>
        <v>2.1503999999999999</v>
      </c>
      <c r="I36" s="63">
        <f>H36*D36</f>
        <v>118.27199999999999</v>
      </c>
      <c r="J36" s="45"/>
      <c r="K36" s="46"/>
      <c r="M36" s="62">
        <v>27</v>
      </c>
      <c r="N36" s="82" t="s">
        <v>18</v>
      </c>
      <c r="O36" s="47"/>
      <c r="P36" s="40" t="s">
        <v>44</v>
      </c>
      <c r="Q36" s="5" t="s">
        <v>17</v>
      </c>
      <c r="R36" s="5" t="s">
        <v>17</v>
      </c>
      <c r="S36" s="1"/>
      <c r="T36" s="63"/>
      <c r="U36" s="30"/>
      <c r="V36" s="48"/>
      <c r="W36" s="15"/>
    </row>
    <row r="37" spans="1:141" x14ac:dyDescent="0.4">
      <c r="A37" s="22"/>
      <c r="B37" s="62">
        <v>28</v>
      </c>
      <c r="C37" s="83"/>
      <c r="D37" s="47">
        <v>11</v>
      </c>
      <c r="E37" s="40" t="s">
        <v>34</v>
      </c>
      <c r="F37" s="5" t="s">
        <v>17</v>
      </c>
      <c r="G37" s="5" t="s">
        <v>17</v>
      </c>
      <c r="H37" s="1">
        <f>0.21*0.24*8*8</f>
        <v>3.2255999999999996</v>
      </c>
      <c r="I37" s="63">
        <f>H37*D37</f>
        <v>35.481599999999993</v>
      </c>
      <c r="J37" s="45"/>
      <c r="K37" s="46"/>
      <c r="M37" s="62">
        <v>28</v>
      </c>
      <c r="N37" s="83"/>
      <c r="O37" s="47"/>
      <c r="P37" s="40"/>
      <c r="Q37" s="5"/>
      <c r="R37" s="5"/>
      <c r="S37" s="1"/>
      <c r="T37" s="63"/>
      <c r="U37" s="30"/>
      <c r="W37" s="15"/>
    </row>
    <row r="38" spans="1:141" x14ac:dyDescent="0.4">
      <c r="A38" s="22"/>
      <c r="B38" s="62">
        <v>29</v>
      </c>
      <c r="C38" s="2"/>
      <c r="D38" s="2"/>
      <c r="E38" s="2"/>
      <c r="F38" s="2"/>
      <c r="G38" s="2"/>
      <c r="H38" s="2"/>
      <c r="I38" s="65"/>
      <c r="J38" s="45"/>
      <c r="K38" s="46"/>
      <c r="M38" s="62">
        <v>29</v>
      </c>
      <c r="N38" s="2"/>
      <c r="O38" s="2"/>
      <c r="P38" s="2"/>
      <c r="Q38" s="5"/>
      <c r="R38" s="5"/>
      <c r="S38" s="1"/>
      <c r="T38" s="63"/>
      <c r="U38" s="30"/>
      <c r="W38" s="15"/>
    </row>
    <row r="39" spans="1:141" x14ac:dyDescent="0.4">
      <c r="A39" s="22"/>
      <c r="B39" s="62">
        <v>30</v>
      </c>
      <c r="C39" s="49" t="s">
        <v>57</v>
      </c>
      <c r="D39" s="47">
        <v>16</v>
      </c>
      <c r="E39" s="50" t="s">
        <v>37</v>
      </c>
      <c r="F39" s="5" t="s">
        <v>17</v>
      </c>
      <c r="G39" s="5" t="s">
        <v>17</v>
      </c>
      <c r="H39" s="1">
        <f>0.08*0.08*8*15</f>
        <v>0.76800000000000002</v>
      </c>
      <c r="I39" s="63">
        <f>H39*D39</f>
        <v>12.288</v>
      </c>
      <c r="J39" s="45"/>
      <c r="K39" s="46"/>
      <c r="M39" s="62">
        <v>30</v>
      </c>
      <c r="N39" s="49" t="s">
        <v>57</v>
      </c>
      <c r="O39" s="47">
        <v>1</v>
      </c>
      <c r="P39" s="50" t="s">
        <v>43</v>
      </c>
      <c r="Q39" s="5" t="s">
        <v>17</v>
      </c>
      <c r="R39" s="5" t="s">
        <v>17</v>
      </c>
      <c r="S39" s="1">
        <f>2*1*8*15</f>
        <v>240</v>
      </c>
      <c r="T39" s="63">
        <f>S39*O39</f>
        <v>240</v>
      </c>
      <c r="U39" s="30"/>
      <c r="W39" s="14"/>
    </row>
    <row r="40" spans="1:141" x14ac:dyDescent="0.4">
      <c r="A40" s="22"/>
      <c r="B40" s="62">
        <v>31</v>
      </c>
      <c r="C40" s="2"/>
      <c r="D40" s="2"/>
      <c r="E40" s="2"/>
      <c r="F40" s="2"/>
      <c r="G40" s="2"/>
      <c r="H40" s="2"/>
      <c r="I40" s="65"/>
      <c r="J40" s="45"/>
      <c r="K40" s="46"/>
      <c r="M40" s="62">
        <v>31</v>
      </c>
      <c r="N40" s="2"/>
      <c r="O40" s="2"/>
      <c r="P40" s="2"/>
      <c r="Q40" s="2"/>
      <c r="R40" s="2"/>
      <c r="S40" s="2"/>
      <c r="T40" s="65"/>
      <c r="U40" s="30"/>
      <c r="W40" s="15"/>
    </row>
    <row r="41" spans="1:141" x14ac:dyDescent="0.4">
      <c r="A41" s="22"/>
      <c r="B41" s="62">
        <v>32</v>
      </c>
      <c r="C41" s="49" t="s">
        <v>38</v>
      </c>
      <c r="D41" s="47">
        <v>8</v>
      </c>
      <c r="E41" s="50" t="s">
        <v>39</v>
      </c>
      <c r="F41" s="5" t="s">
        <v>17</v>
      </c>
      <c r="G41" s="5" t="s">
        <v>17</v>
      </c>
      <c r="H41" s="1">
        <f>0.5*0.25*8*15</f>
        <v>15</v>
      </c>
      <c r="I41" s="63">
        <f>H41*D41</f>
        <v>120</v>
      </c>
      <c r="J41" s="45"/>
      <c r="K41" s="46"/>
      <c r="M41" s="62">
        <v>32</v>
      </c>
      <c r="N41" s="49" t="s">
        <v>38</v>
      </c>
      <c r="O41" s="47"/>
      <c r="P41" s="50" t="s">
        <v>43</v>
      </c>
      <c r="Q41" s="5" t="s">
        <v>17</v>
      </c>
      <c r="R41" s="5" t="s">
        <v>17</v>
      </c>
      <c r="S41" s="1"/>
      <c r="T41" s="63"/>
      <c r="U41" s="30"/>
      <c r="V41" s="48"/>
      <c r="W41" s="15"/>
    </row>
    <row r="42" spans="1:141" x14ac:dyDescent="0.4">
      <c r="A42" s="22"/>
      <c r="B42" s="62">
        <v>33</v>
      </c>
      <c r="C42" s="59"/>
      <c r="D42" s="59"/>
      <c r="E42" s="60"/>
      <c r="F42" s="36"/>
      <c r="G42" s="36"/>
      <c r="H42" s="42"/>
      <c r="I42" s="66"/>
      <c r="J42" s="45"/>
      <c r="K42" s="46"/>
      <c r="M42" s="62">
        <v>33</v>
      </c>
      <c r="N42" s="59"/>
      <c r="O42" s="59"/>
      <c r="P42" s="60"/>
      <c r="Q42" s="36"/>
      <c r="R42" s="36"/>
      <c r="S42" s="42"/>
      <c r="T42" s="66"/>
      <c r="U42" s="30"/>
      <c r="V42" s="48"/>
      <c r="W42" s="15"/>
    </row>
    <row r="43" spans="1:141" x14ac:dyDescent="0.4">
      <c r="A43" s="22"/>
      <c r="B43" s="62">
        <v>34</v>
      </c>
      <c r="C43" s="59" t="s">
        <v>53</v>
      </c>
      <c r="D43" s="59">
        <v>28</v>
      </c>
      <c r="E43" s="60" t="s">
        <v>54</v>
      </c>
      <c r="F43" s="5" t="s">
        <v>17</v>
      </c>
      <c r="G43" s="5" t="s">
        <v>17</v>
      </c>
      <c r="H43" s="1">
        <f>3*0.5*8*2.5</f>
        <v>30</v>
      </c>
      <c r="I43" s="63">
        <f>H43*D43</f>
        <v>840</v>
      </c>
      <c r="J43" s="45"/>
      <c r="K43" s="46"/>
      <c r="M43" s="62">
        <v>34</v>
      </c>
      <c r="N43" s="59" t="s">
        <v>53</v>
      </c>
      <c r="O43" s="59">
        <v>10</v>
      </c>
      <c r="P43" s="60" t="s">
        <v>55</v>
      </c>
      <c r="Q43" s="5" t="s">
        <v>17</v>
      </c>
      <c r="R43" s="5" t="s">
        <v>17</v>
      </c>
      <c r="S43" s="1">
        <f>3*1.5*8*2.5</f>
        <v>90</v>
      </c>
      <c r="T43" s="63">
        <f>S43*O43</f>
        <v>900</v>
      </c>
      <c r="U43" s="30"/>
      <c r="V43" s="48"/>
      <c r="W43" s="15"/>
    </row>
    <row r="44" spans="1:141" x14ac:dyDescent="0.4">
      <c r="A44" s="22"/>
      <c r="B44" s="62">
        <v>35</v>
      </c>
      <c r="C44" s="2"/>
      <c r="D44" s="2"/>
      <c r="E44" s="2"/>
      <c r="F44" s="2"/>
      <c r="G44" s="2"/>
      <c r="H44" s="2"/>
      <c r="I44" s="65"/>
      <c r="J44" s="45"/>
      <c r="K44" s="46"/>
      <c r="M44" s="62">
        <v>35</v>
      </c>
      <c r="N44" s="2"/>
      <c r="O44" s="2"/>
      <c r="P44" s="2"/>
      <c r="Q44" s="2"/>
      <c r="R44" s="2"/>
      <c r="S44" s="2"/>
      <c r="T44" s="65"/>
      <c r="U44" s="30"/>
      <c r="W44" s="15"/>
    </row>
    <row r="45" spans="1:141" x14ac:dyDescent="0.4">
      <c r="A45" s="22"/>
      <c r="B45" s="62">
        <v>36</v>
      </c>
      <c r="C45" s="35" t="s">
        <v>19</v>
      </c>
      <c r="D45" s="51">
        <v>0.05</v>
      </c>
      <c r="E45" s="5" t="s">
        <v>17</v>
      </c>
      <c r="F45" s="5" t="s">
        <v>17</v>
      </c>
      <c r="G45" s="5" t="s">
        <v>17</v>
      </c>
      <c r="H45" s="5" t="s">
        <v>17</v>
      </c>
      <c r="I45" s="63">
        <f>+SUM(I10:I43)*0</f>
        <v>0</v>
      </c>
      <c r="J45" s="45"/>
      <c r="K45" s="46"/>
      <c r="M45" s="62">
        <v>36</v>
      </c>
      <c r="N45" s="35" t="s">
        <v>19</v>
      </c>
      <c r="O45" s="51">
        <v>0.05</v>
      </c>
      <c r="P45" s="5" t="s">
        <v>17</v>
      </c>
      <c r="Q45" s="5" t="s">
        <v>17</v>
      </c>
      <c r="R45" s="5" t="s">
        <v>17</v>
      </c>
      <c r="S45" s="1" t="s">
        <v>17</v>
      </c>
      <c r="T45" s="63">
        <f>+SUM(T10:T44)*0.05</f>
        <v>1105.1320000000001</v>
      </c>
      <c r="U45" s="30"/>
      <c r="V45" s="48"/>
      <c r="W45" s="14"/>
    </row>
    <row r="46" spans="1:141" ht="21.6" thickBot="1" x14ac:dyDescent="0.45">
      <c r="A46" s="22"/>
      <c r="B46" s="67">
        <v>37</v>
      </c>
      <c r="C46" s="68"/>
      <c r="D46" s="69"/>
      <c r="E46" s="69"/>
      <c r="F46" s="69"/>
      <c r="G46" s="69"/>
      <c r="H46" s="69"/>
      <c r="I46" s="70"/>
      <c r="J46" s="30"/>
      <c r="K46" s="52"/>
      <c r="M46" s="67">
        <v>37</v>
      </c>
      <c r="N46" s="68"/>
      <c r="O46" s="69"/>
      <c r="P46" s="69"/>
      <c r="Q46" s="69"/>
      <c r="R46" s="69"/>
      <c r="S46" s="69"/>
      <c r="T46" s="70"/>
      <c r="U46" s="30"/>
      <c r="V46" s="48"/>
      <c r="W46" s="14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  <c r="BW46" s="48"/>
      <c r="BX46" s="48"/>
      <c r="BY46" s="48"/>
      <c r="BZ46" s="48"/>
      <c r="CA46" s="48"/>
      <c r="CB46" s="48"/>
      <c r="CC46" s="48"/>
      <c r="CD46" s="48"/>
      <c r="CE46" s="48"/>
      <c r="CF46" s="48"/>
      <c r="CG46" s="48"/>
      <c r="CH46" s="48"/>
      <c r="CI46" s="48"/>
      <c r="CJ46" s="48"/>
      <c r="CK46" s="48"/>
      <c r="CL46" s="48"/>
      <c r="CM46" s="48"/>
      <c r="CN46" s="48"/>
      <c r="CO46" s="48"/>
      <c r="CP46" s="48"/>
      <c r="CQ46" s="48"/>
      <c r="CR46" s="48"/>
      <c r="CS46" s="48"/>
      <c r="CT46" s="48"/>
      <c r="CU46" s="48"/>
      <c r="CV46" s="48"/>
      <c r="CW46" s="48"/>
      <c r="CX46" s="48"/>
      <c r="CY46" s="48"/>
      <c r="CZ46" s="48"/>
      <c r="DA46" s="48"/>
      <c r="DB46" s="48"/>
      <c r="DC46" s="48"/>
      <c r="DD46" s="48"/>
      <c r="DE46" s="48"/>
      <c r="DF46" s="48"/>
      <c r="DG46" s="48"/>
      <c r="DH46" s="48"/>
      <c r="DI46" s="48"/>
      <c r="DJ46" s="48"/>
      <c r="DK46" s="48"/>
      <c r="DL46" s="48"/>
      <c r="DM46" s="48"/>
      <c r="DN46" s="48"/>
      <c r="DO46" s="48"/>
      <c r="DP46" s="48"/>
      <c r="DQ46" s="48"/>
      <c r="DR46" s="48"/>
      <c r="DS46" s="48"/>
      <c r="DT46" s="48"/>
      <c r="DU46" s="48"/>
      <c r="DV46" s="48"/>
      <c r="DW46" s="48"/>
      <c r="DX46" s="48"/>
      <c r="DY46" s="48"/>
      <c r="DZ46" s="48"/>
      <c r="EA46" s="48"/>
      <c r="EB46" s="48"/>
      <c r="EC46" s="48"/>
      <c r="ED46" s="48"/>
      <c r="EE46" s="48"/>
      <c r="EF46" s="48"/>
      <c r="EG46" s="48"/>
      <c r="EH46" s="48"/>
      <c r="EI46" s="48"/>
      <c r="EJ46" s="48"/>
      <c r="EK46" s="48"/>
    </row>
    <row r="47" spans="1:141" ht="21.6" thickBot="1" x14ac:dyDescent="0.45">
      <c r="A47" s="53"/>
      <c r="B47" s="3"/>
      <c r="C47" s="3"/>
      <c r="D47" s="3"/>
      <c r="E47" s="3"/>
      <c r="F47" s="3"/>
      <c r="G47" s="54" t="s">
        <v>11</v>
      </c>
      <c r="H47" s="55"/>
      <c r="I47" s="61">
        <f>SUM(I10:I46)</f>
        <v>19303.339200000002</v>
      </c>
      <c r="J47" s="30"/>
      <c r="K47" s="52"/>
      <c r="R47" s="54" t="s">
        <v>13</v>
      </c>
      <c r="S47" s="55"/>
      <c r="T47" s="61">
        <f>SUM(T10:T46)</f>
        <v>23207.772000000001</v>
      </c>
      <c r="U47" s="30"/>
      <c r="V47" s="48"/>
      <c r="W47" s="14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  <c r="BW47" s="48"/>
      <c r="BX47" s="48"/>
      <c r="BY47" s="48"/>
      <c r="BZ47" s="48"/>
      <c r="CA47" s="48"/>
      <c r="CB47" s="48"/>
      <c r="CC47" s="48"/>
      <c r="CD47" s="48"/>
      <c r="CE47" s="48"/>
      <c r="CF47" s="48"/>
      <c r="CG47" s="48"/>
      <c r="CH47" s="48"/>
      <c r="CI47" s="48"/>
      <c r="CJ47" s="48"/>
      <c r="CK47" s="48"/>
      <c r="CL47" s="48"/>
      <c r="CM47" s="48"/>
      <c r="CN47" s="48"/>
      <c r="CO47" s="48"/>
      <c r="CP47" s="48"/>
      <c r="CQ47" s="48"/>
      <c r="CR47" s="48"/>
      <c r="CS47" s="48"/>
      <c r="CT47" s="48"/>
      <c r="CU47" s="48"/>
      <c r="CV47" s="48"/>
      <c r="CW47" s="48"/>
      <c r="CX47" s="48"/>
      <c r="CY47" s="48"/>
      <c r="CZ47" s="48"/>
      <c r="DA47" s="48"/>
      <c r="DB47" s="48"/>
      <c r="DC47" s="48"/>
      <c r="DD47" s="48"/>
      <c r="DE47" s="48"/>
      <c r="DF47" s="48"/>
      <c r="DG47" s="48"/>
      <c r="DH47" s="48"/>
      <c r="DI47" s="48"/>
      <c r="DJ47" s="48"/>
      <c r="DK47" s="48"/>
      <c r="DL47" s="48"/>
      <c r="DM47" s="48"/>
      <c r="DN47" s="48"/>
      <c r="DO47" s="48"/>
      <c r="DP47" s="48"/>
      <c r="DQ47" s="48"/>
      <c r="DR47" s="48"/>
      <c r="DS47" s="48"/>
      <c r="DT47" s="48"/>
      <c r="DU47" s="48"/>
      <c r="DV47" s="48"/>
      <c r="DW47" s="48"/>
      <c r="DX47" s="48"/>
      <c r="DY47" s="48"/>
      <c r="DZ47" s="48"/>
      <c r="EA47" s="48"/>
      <c r="EB47" s="48"/>
      <c r="EC47" s="48"/>
      <c r="ED47" s="48"/>
      <c r="EE47" s="48"/>
      <c r="EF47" s="48"/>
      <c r="EG47" s="48"/>
      <c r="EH47" s="48"/>
      <c r="EI47" s="48"/>
      <c r="EJ47" s="48"/>
      <c r="EK47" s="48"/>
    </row>
    <row r="48" spans="1:141" ht="17.25" customHeight="1" x14ac:dyDescent="0.4">
      <c r="A48" s="53"/>
      <c r="B48" s="3"/>
      <c r="C48" s="3"/>
      <c r="D48" s="3"/>
      <c r="E48" s="3"/>
      <c r="F48" s="3"/>
      <c r="G48" s="24"/>
      <c r="H48" s="24"/>
      <c r="I48" s="71"/>
      <c r="J48" s="30"/>
      <c r="K48" s="52"/>
      <c r="R48" s="24"/>
      <c r="S48" s="24"/>
      <c r="T48" s="71"/>
      <c r="U48" s="30"/>
      <c r="V48" s="48"/>
      <c r="W48" s="14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  <c r="BW48" s="48"/>
      <c r="BX48" s="48"/>
      <c r="BY48" s="48"/>
      <c r="BZ48" s="48"/>
      <c r="CA48" s="48"/>
      <c r="CB48" s="48"/>
      <c r="CC48" s="48"/>
      <c r="CD48" s="48"/>
      <c r="CE48" s="48"/>
      <c r="CF48" s="48"/>
      <c r="CG48" s="48"/>
      <c r="CH48" s="48"/>
      <c r="CI48" s="48"/>
      <c r="CJ48" s="48"/>
      <c r="CK48" s="48"/>
      <c r="CL48" s="48"/>
      <c r="CM48" s="48"/>
      <c r="CN48" s="48"/>
      <c r="CO48" s="48"/>
      <c r="CP48" s="48"/>
      <c r="CQ48" s="48"/>
      <c r="CR48" s="48"/>
      <c r="CS48" s="48"/>
      <c r="CT48" s="48"/>
      <c r="CU48" s="48"/>
      <c r="CV48" s="48"/>
      <c r="CW48" s="48"/>
      <c r="CX48" s="48"/>
      <c r="CY48" s="48"/>
      <c r="CZ48" s="48"/>
      <c r="DA48" s="48"/>
      <c r="DB48" s="48"/>
      <c r="DC48" s="48"/>
      <c r="DD48" s="48"/>
      <c r="DE48" s="48"/>
      <c r="DF48" s="48"/>
      <c r="DG48" s="48"/>
      <c r="DH48" s="48"/>
      <c r="DI48" s="48"/>
      <c r="DJ48" s="48"/>
      <c r="DK48" s="48"/>
      <c r="DL48" s="48"/>
      <c r="DM48" s="48"/>
      <c r="DN48" s="48"/>
      <c r="DO48" s="48"/>
      <c r="DP48" s="48"/>
      <c r="DQ48" s="48"/>
      <c r="DR48" s="48"/>
      <c r="DS48" s="48"/>
      <c r="DT48" s="48"/>
      <c r="DU48" s="48"/>
      <c r="DV48" s="48"/>
      <c r="DW48" s="48"/>
      <c r="DX48" s="48"/>
      <c r="DY48" s="48"/>
      <c r="DZ48" s="48"/>
      <c r="EA48" s="48"/>
      <c r="EB48" s="48"/>
      <c r="EC48" s="48"/>
      <c r="ED48" s="48"/>
      <c r="EE48" s="48"/>
      <c r="EF48" s="48"/>
      <c r="EG48" s="48"/>
      <c r="EH48" s="48"/>
      <c r="EI48" s="48"/>
      <c r="EJ48" s="48"/>
      <c r="EK48" s="48"/>
    </row>
    <row r="49" spans="1:141" ht="17.25" customHeight="1" x14ac:dyDescent="0.4">
      <c r="A49" s="22"/>
      <c r="G49" s="24"/>
      <c r="H49" s="24"/>
      <c r="I49" s="71"/>
      <c r="J49" s="30"/>
      <c r="K49" s="52"/>
      <c r="R49" s="24"/>
      <c r="S49" s="24"/>
      <c r="T49" s="71"/>
      <c r="U49" s="30"/>
      <c r="V49" s="48"/>
      <c r="W49" s="13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  <c r="BW49" s="48"/>
      <c r="BX49" s="48"/>
      <c r="BY49" s="48"/>
      <c r="BZ49" s="48"/>
      <c r="CA49" s="48"/>
      <c r="CB49" s="48"/>
      <c r="CC49" s="48"/>
      <c r="CD49" s="48"/>
      <c r="CE49" s="48"/>
      <c r="CF49" s="48"/>
      <c r="CG49" s="48"/>
      <c r="CH49" s="48"/>
      <c r="CI49" s="48"/>
      <c r="CJ49" s="48"/>
      <c r="CK49" s="48"/>
      <c r="CL49" s="48"/>
      <c r="CM49" s="48"/>
      <c r="CN49" s="48"/>
      <c r="CO49" s="48"/>
      <c r="CP49" s="48"/>
      <c r="CQ49" s="48"/>
      <c r="CR49" s="48"/>
      <c r="CS49" s="48"/>
      <c r="CT49" s="48"/>
      <c r="CU49" s="48"/>
      <c r="CV49" s="48"/>
      <c r="CW49" s="48"/>
      <c r="CX49" s="48"/>
      <c r="CY49" s="48"/>
      <c r="CZ49" s="48"/>
      <c r="DA49" s="48"/>
      <c r="DB49" s="48"/>
      <c r="DC49" s="48"/>
      <c r="DD49" s="48"/>
      <c r="DE49" s="48"/>
      <c r="DF49" s="48"/>
      <c r="DG49" s="48"/>
      <c r="DH49" s="48"/>
      <c r="DI49" s="48"/>
      <c r="DJ49" s="48"/>
      <c r="DK49" s="48"/>
      <c r="DL49" s="48"/>
      <c r="DM49" s="48"/>
      <c r="DN49" s="48"/>
      <c r="DO49" s="48"/>
      <c r="DP49" s="48"/>
      <c r="DQ49" s="48"/>
      <c r="DR49" s="48"/>
      <c r="DS49" s="48"/>
      <c r="DT49" s="48"/>
      <c r="DU49" s="48"/>
      <c r="DV49" s="48"/>
      <c r="DW49" s="48"/>
      <c r="DX49" s="48"/>
      <c r="DY49" s="48"/>
      <c r="DZ49" s="48"/>
      <c r="EA49" s="48"/>
      <c r="EB49" s="48"/>
      <c r="EC49" s="48"/>
      <c r="ED49" s="48"/>
      <c r="EE49" s="48"/>
      <c r="EF49" s="48"/>
      <c r="EG49" s="48"/>
      <c r="EH49" s="48"/>
      <c r="EI49" s="48"/>
      <c r="EJ49" s="48"/>
      <c r="EK49" s="48"/>
    </row>
    <row r="50" spans="1:141" ht="17.25" customHeight="1" thickBot="1" x14ac:dyDescent="0.45">
      <c r="A50" s="56"/>
      <c r="B50" s="57"/>
      <c r="C50" s="57"/>
      <c r="D50" s="57"/>
      <c r="E50" s="57"/>
      <c r="F50" s="57"/>
      <c r="G50" s="57"/>
      <c r="H50" s="57"/>
      <c r="I50" s="57"/>
      <c r="J50" s="58"/>
      <c r="L50" s="56"/>
      <c r="M50" s="57"/>
      <c r="N50" s="57"/>
      <c r="O50" s="57"/>
      <c r="P50" s="57"/>
      <c r="Q50" s="57"/>
      <c r="R50" s="57"/>
      <c r="S50" s="57"/>
      <c r="T50" s="57"/>
      <c r="U50" s="58"/>
      <c r="V50" s="48"/>
      <c r="W50" s="13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  <c r="BW50" s="48"/>
      <c r="BX50" s="48"/>
      <c r="BY50" s="48"/>
      <c r="BZ50" s="48"/>
      <c r="CA50" s="48"/>
      <c r="CB50" s="48"/>
      <c r="CC50" s="48"/>
      <c r="CD50" s="48"/>
      <c r="CE50" s="48"/>
      <c r="CF50" s="48"/>
      <c r="CG50" s="48"/>
      <c r="CH50" s="48"/>
      <c r="CI50" s="48"/>
      <c r="CJ50" s="48"/>
      <c r="CK50" s="48"/>
      <c r="CL50" s="48"/>
      <c r="CM50" s="48"/>
      <c r="CN50" s="48"/>
      <c r="CO50" s="48"/>
      <c r="CP50" s="48"/>
      <c r="CQ50" s="48"/>
      <c r="CR50" s="48"/>
      <c r="CS50" s="48"/>
      <c r="CT50" s="48"/>
      <c r="CU50" s="48"/>
      <c r="CV50" s="48"/>
      <c r="CW50" s="48"/>
      <c r="CX50" s="48"/>
      <c r="CY50" s="48"/>
      <c r="CZ50" s="48"/>
      <c r="DA50" s="48"/>
      <c r="DB50" s="48"/>
      <c r="DC50" s="48"/>
      <c r="DD50" s="48"/>
      <c r="DE50" s="48"/>
      <c r="DF50" s="48"/>
      <c r="DG50" s="48"/>
      <c r="DH50" s="48"/>
      <c r="DI50" s="48"/>
      <c r="DJ50" s="48"/>
      <c r="DK50" s="48"/>
      <c r="DL50" s="48"/>
      <c r="DM50" s="48"/>
      <c r="DN50" s="48"/>
      <c r="DO50" s="48"/>
      <c r="DP50" s="48"/>
      <c r="DQ50" s="48"/>
      <c r="DR50" s="48"/>
      <c r="DS50" s="48"/>
      <c r="DT50" s="48"/>
      <c r="DU50" s="48"/>
      <c r="DV50" s="48"/>
      <c r="DW50" s="48"/>
      <c r="DX50" s="48"/>
      <c r="DY50" s="48"/>
      <c r="DZ50" s="48"/>
      <c r="EA50" s="48"/>
      <c r="EB50" s="48"/>
      <c r="EC50" s="48"/>
      <c r="ED50" s="48"/>
      <c r="EE50" s="48"/>
      <c r="EF50" s="48"/>
      <c r="EG50" s="48"/>
      <c r="EH50" s="48"/>
      <c r="EI50" s="48"/>
      <c r="EJ50" s="48"/>
      <c r="EK50" s="48"/>
    </row>
    <row r="51" spans="1:141" ht="21.6" thickTop="1" x14ac:dyDescent="0.4"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  <c r="BW51" s="48"/>
      <c r="BX51" s="48"/>
      <c r="BY51" s="48"/>
      <c r="BZ51" s="48"/>
      <c r="CA51" s="48"/>
      <c r="CB51" s="48"/>
      <c r="CC51" s="48"/>
      <c r="CD51" s="48"/>
      <c r="CE51" s="48"/>
      <c r="CF51" s="48"/>
      <c r="CG51" s="48"/>
      <c r="CH51" s="48"/>
      <c r="CI51" s="48"/>
      <c r="CJ51" s="48"/>
      <c r="CK51" s="48"/>
      <c r="CL51" s="48"/>
      <c r="CM51" s="48"/>
      <c r="CN51" s="48"/>
      <c r="CO51" s="48"/>
      <c r="CP51" s="48"/>
      <c r="CQ51" s="48"/>
      <c r="CR51" s="48"/>
      <c r="CS51" s="48"/>
      <c r="CT51" s="48"/>
      <c r="CU51" s="48"/>
      <c r="CV51" s="48"/>
      <c r="CW51" s="48"/>
      <c r="CX51" s="48"/>
      <c r="CY51" s="48"/>
      <c r="CZ51" s="48"/>
      <c r="DA51" s="48"/>
      <c r="DB51" s="48"/>
      <c r="DC51" s="48"/>
      <c r="DD51" s="48"/>
      <c r="DE51" s="48"/>
      <c r="DF51" s="48"/>
      <c r="DG51" s="48"/>
      <c r="DH51" s="48"/>
      <c r="DI51" s="48"/>
      <c r="DJ51" s="48"/>
      <c r="DK51" s="48"/>
      <c r="DL51" s="48"/>
      <c r="DM51" s="48"/>
      <c r="DN51" s="48"/>
      <c r="DO51" s="48"/>
      <c r="DP51" s="48"/>
      <c r="DQ51" s="48"/>
      <c r="DR51" s="48"/>
      <c r="DS51" s="48"/>
      <c r="DT51" s="48"/>
      <c r="DU51" s="48"/>
      <c r="DV51" s="48"/>
      <c r="DW51" s="48"/>
      <c r="DX51" s="48"/>
      <c r="DY51" s="48"/>
      <c r="DZ51" s="48"/>
      <c r="EA51" s="48"/>
      <c r="EB51" s="48"/>
      <c r="EC51" s="48"/>
      <c r="ED51" s="48"/>
      <c r="EE51" s="48"/>
      <c r="EF51" s="48"/>
      <c r="EG51" s="48"/>
      <c r="EH51" s="48"/>
      <c r="EI51" s="48"/>
      <c r="EJ51" s="48"/>
      <c r="EK51" s="48"/>
    </row>
    <row r="52" spans="1:141" x14ac:dyDescent="0.4">
      <c r="K52" s="16" t="s">
        <v>20</v>
      </c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  <c r="BW52" s="48"/>
      <c r="BX52" s="48"/>
      <c r="BY52" s="48"/>
      <c r="BZ52" s="48"/>
      <c r="CA52" s="48"/>
      <c r="CB52" s="48"/>
      <c r="CC52" s="48"/>
      <c r="CD52" s="48"/>
      <c r="CE52" s="48"/>
      <c r="CF52" s="48"/>
      <c r="CG52" s="48"/>
      <c r="CH52" s="48"/>
      <c r="CI52" s="48"/>
      <c r="CJ52" s="48"/>
      <c r="CK52" s="48"/>
      <c r="CL52" s="48"/>
      <c r="CM52" s="48"/>
      <c r="CN52" s="48"/>
      <c r="CO52" s="48"/>
      <c r="CP52" s="48"/>
      <c r="CQ52" s="48"/>
      <c r="CR52" s="48"/>
      <c r="CS52" s="48"/>
      <c r="CT52" s="48"/>
      <c r="CU52" s="48"/>
      <c r="CV52" s="48"/>
      <c r="CW52" s="48"/>
      <c r="CX52" s="48"/>
      <c r="CY52" s="48"/>
      <c r="CZ52" s="48"/>
      <c r="DA52" s="48"/>
      <c r="DB52" s="48"/>
      <c r="DC52" s="48"/>
      <c r="DD52" s="48"/>
      <c r="DE52" s="48"/>
      <c r="DF52" s="48"/>
      <c r="DG52" s="48"/>
      <c r="DH52" s="48"/>
      <c r="DI52" s="48"/>
      <c r="DJ52" s="48"/>
      <c r="DK52" s="48"/>
      <c r="DL52" s="48"/>
      <c r="DM52" s="48"/>
      <c r="DN52" s="48"/>
      <c r="DO52" s="48"/>
      <c r="DP52" s="48"/>
      <c r="DQ52" s="48"/>
      <c r="DR52" s="48"/>
      <c r="DS52" s="48"/>
      <c r="DT52" s="48"/>
      <c r="DU52" s="48"/>
      <c r="DV52" s="48"/>
      <c r="DW52" s="48"/>
      <c r="DX52" s="48"/>
      <c r="DY52" s="48"/>
      <c r="DZ52" s="48"/>
      <c r="EA52" s="48"/>
      <c r="EB52" s="48"/>
      <c r="EC52" s="48"/>
      <c r="ED52" s="48"/>
      <c r="EE52" s="48"/>
      <c r="EF52" s="48"/>
      <c r="EG52" s="48"/>
      <c r="EH52" s="48"/>
      <c r="EI52" s="48"/>
      <c r="EJ52" s="48"/>
      <c r="EK52" s="48"/>
    </row>
    <row r="53" spans="1:141" ht="17.25" customHeight="1" x14ac:dyDescent="0.4">
      <c r="K53" s="16" t="s">
        <v>20</v>
      </c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  <c r="BW53" s="48"/>
      <c r="BX53" s="48"/>
      <c r="BY53" s="48"/>
      <c r="BZ53" s="48"/>
      <c r="CA53" s="48"/>
      <c r="CB53" s="48"/>
      <c r="CC53" s="48"/>
      <c r="CD53" s="48"/>
      <c r="CE53" s="48"/>
      <c r="CF53" s="48"/>
      <c r="CG53" s="48"/>
      <c r="CH53" s="48"/>
      <c r="CI53" s="48"/>
      <c r="CJ53" s="48"/>
      <c r="CK53" s="48"/>
      <c r="CL53" s="48"/>
      <c r="CM53" s="48"/>
      <c r="CN53" s="48"/>
      <c r="CO53" s="48"/>
      <c r="CP53" s="48"/>
      <c r="CQ53" s="48"/>
      <c r="CR53" s="48"/>
      <c r="CS53" s="48"/>
      <c r="CT53" s="48"/>
      <c r="CU53" s="48"/>
      <c r="CV53" s="48"/>
      <c r="CW53" s="48"/>
      <c r="CX53" s="48"/>
      <c r="CY53" s="48"/>
      <c r="CZ53" s="48"/>
      <c r="DA53" s="48"/>
      <c r="DB53" s="48"/>
      <c r="DC53" s="48"/>
      <c r="DD53" s="48"/>
      <c r="DE53" s="48"/>
      <c r="DF53" s="48"/>
      <c r="DG53" s="48"/>
      <c r="DH53" s="48"/>
      <c r="DI53" s="48"/>
      <c r="DJ53" s="48"/>
      <c r="DK53" s="48"/>
      <c r="DL53" s="48"/>
      <c r="DM53" s="48"/>
      <c r="DN53" s="48"/>
      <c r="DO53" s="48"/>
      <c r="DP53" s="48"/>
      <c r="DQ53" s="48"/>
      <c r="DR53" s="48"/>
      <c r="DS53" s="48"/>
      <c r="DT53" s="48"/>
      <c r="DU53" s="48"/>
      <c r="DV53" s="48"/>
      <c r="DW53" s="48"/>
      <c r="DX53" s="48"/>
      <c r="DY53" s="48"/>
      <c r="DZ53" s="48"/>
      <c r="EA53" s="48"/>
      <c r="EB53" s="48"/>
      <c r="EC53" s="48"/>
      <c r="ED53" s="48"/>
      <c r="EE53" s="48"/>
      <c r="EF53" s="48"/>
      <c r="EG53" s="48"/>
      <c r="EH53" s="48"/>
      <c r="EI53" s="48"/>
      <c r="EJ53" s="48"/>
      <c r="EK53" s="48"/>
    </row>
    <row r="54" spans="1:141" ht="21.75" customHeight="1" x14ac:dyDescent="0.4">
      <c r="A54" s="3"/>
      <c r="B54" s="3"/>
      <c r="C54" s="3"/>
      <c r="D54" s="3"/>
      <c r="E54" s="3"/>
      <c r="F54" s="3"/>
      <c r="G54" s="3"/>
      <c r="K54" s="16" t="s">
        <v>20</v>
      </c>
      <c r="P54" s="16" t="s">
        <v>15</v>
      </c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  <c r="BW54" s="48"/>
      <c r="BX54" s="48"/>
      <c r="BY54" s="48"/>
      <c r="BZ54" s="48"/>
      <c r="CA54" s="48"/>
      <c r="CB54" s="48"/>
      <c r="CC54" s="48"/>
      <c r="CD54" s="48"/>
      <c r="CE54" s="48"/>
      <c r="CF54" s="48"/>
      <c r="CG54" s="48"/>
      <c r="CH54" s="48"/>
      <c r="CI54" s="48"/>
      <c r="CJ54" s="48"/>
      <c r="CK54" s="48"/>
      <c r="CL54" s="48"/>
      <c r="CM54" s="48"/>
      <c r="CN54" s="48"/>
      <c r="CO54" s="48"/>
      <c r="CP54" s="48"/>
      <c r="CQ54" s="48"/>
      <c r="CR54" s="48"/>
      <c r="CS54" s="48"/>
      <c r="CT54" s="48"/>
      <c r="CU54" s="48"/>
      <c r="CV54" s="48"/>
      <c r="CW54" s="48"/>
      <c r="CX54" s="48"/>
      <c r="CY54" s="48"/>
      <c r="CZ54" s="48"/>
      <c r="DA54" s="48"/>
      <c r="DB54" s="48"/>
      <c r="DC54" s="48"/>
      <c r="DD54" s="48"/>
      <c r="DE54" s="48"/>
      <c r="DF54" s="48"/>
      <c r="DG54" s="48"/>
      <c r="DH54" s="48"/>
      <c r="DI54" s="48"/>
      <c r="DJ54" s="48"/>
      <c r="DK54" s="48"/>
      <c r="DL54" s="48"/>
      <c r="DM54" s="48"/>
      <c r="DN54" s="48"/>
      <c r="DO54" s="48"/>
      <c r="DP54" s="48"/>
      <c r="DQ54" s="48"/>
      <c r="DR54" s="48"/>
      <c r="DS54" s="48"/>
      <c r="DT54" s="48"/>
      <c r="DU54" s="48"/>
      <c r="DV54" s="48"/>
      <c r="DW54" s="48"/>
      <c r="DX54" s="48"/>
      <c r="DY54" s="48"/>
      <c r="DZ54" s="48"/>
      <c r="EA54" s="48"/>
      <c r="EB54" s="48"/>
      <c r="EC54" s="48"/>
      <c r="ED54" s="48"/>
      <c r="EE54" s="48"/>
      <c r="EF54" s="48"/>
      <c r="EG54" s="48"/>
      <c r="EH54" s="48"/>
      <c r="EI54" s="48"/>
      <c r="EJ54" s="48"/>
      <c r="EK54" s="48"/>
    </row>
    <row r="55" spans="1:141" ht="21" customHeight="1" x14ac:dyDescent="0.4">
      <c r="F55" s="3"/>
      <c r="G55" s="3"/>
      <c r="K55" s="16" t="s">
        <v>20</v>
      </c>
    </row>
    <row r="56" spans="1:141" ht="20.25" customHeight="1" x14ac:dyDescent="0.4">
      <c r="F56" s="3"/>
      <c r="G56" s="3"/>
      <c r="K56" s="16" t="s">
        <v>20</v>
      </c>
    </row>
    <row r="57" spans="1:141" x14ac:dyDescent="0.4">
      <c r="K57" s="16" t="s">
        <v>20</v>
      </c>
      <c r="X57" s="3"/>
      <c r="Y57" s="3"/>
    </row>
    <row r="58" spans="1:141" x14ac:dyDescent="0.4">
      <c r="A58" s="3"/>
      <c r="B58" s="3"/>
      <c r="C58" s="3"/>
      <c r="D58" s="3"/>
      <c r="E58" s="3"/>
      <c r="F58" s="3"/>
      <c r="G58" s="3"/>
      <c r="H58" s="3"/>
      <c r="K58" s="16" t="s">
        <v>20</v>
      </c>
      <c r="X58" s="3"/>
      <c r="Y58" s="3"/>
    </row>
    <row r="59" spans="1:141" x14ac:dyDescent="0.4">
      <c r="A59" s="3"/>
      <c r="B59" s="3"/>
      <c r="C59" s="3"/>
      <c r="D59" s="3"/>
      <c r="E59" s="3"/>
      <c r="F59" s="3"/>
      <c r="G59" s="3"/>
      <c r="H59" s="3"/>
      <c r="X59" s="3"/>
      <c r="Y59" s="3"/>
    </row>
    <row r="60" spans="1:141" x14ac:dyDescent="0.4">
      <c r="A60" s="3"/>
      <c r="B60" s="3"/>
      <c r="C60" s="3"/>
      <c r="D60" s="3"/>
      <c r="E60" s="3"/>
      <c r="F60" s="3"/>
      <c r="G60" s="3"/>
      <c r="H60" s="3"/>
      <c r="X60" s="3"/>
      <c r="Y60" s="3"/>
    </row>
    <row r="61" spans="1:141" x14ac:dyDescent="0.4">
      <c r="A61" s="3"/>
      <c r="B61" s="3"/>
      <c r="C61" s="3"/>
      <c r="D61" s="3"/>
      <c r="E61" s="3"/>
      <c r="F61" s="3"/>
      <c r="G61" s="3"/>
      <c r="H61" s="3"/>
      <c r="X61" s="3"/>
      <c r="Y61" s="3"/>
    </row>
    <row r="62" spans="1:141" x14ac:dyDescent="0.4">
      <c r="A62" s="3"/>
      <c r="B62" s="3"/>
      <c r="C62" s="3"/>
      <c r="D62" s="3"/>
      <c r="E62" s="3"/>
      <c r="F62" s="3"/>
      <c r="G62" s="3"/>
      <c r="H62" s="3"/>
      <c r="X62" s="3"/>
      <c r="Y62" s="3"/>
    </row>
    <row r="63" spans="1:141" x14ac:dyDescent="0.4">
      <c r="A63" s="3"/>
      <c r="B63" s="3"/>
      <c r="C63" s="3"/>
      <c r="D63" s="3"/>
      <c r="E63" s="3"/>
      <c r="F63" s="3"/>
      <c r="G63" s="3"/>
      <c r="H63" s="3"/>
      <c r="X63" s="3"/>
      <c r="Y63" s="3"/>
    </row>
    <row r="64" spans="1:141" ht="21" customHeight="1" x14ac:dyDescent="0.4">
      <c r="A64" s="3"/>
      <c r="B64" s="3"/>
      <c r="C64" s="3"/>
      <c r="D64" s="3"/>
      <c r="E64" s="3"/>
      <c r="F64" s="3"/>
      <c r="G64" s="3"/>
      <c r="H64" s="3"/>
      <c r="X64" s="3"/>
      <c r="Y64" s="3"/>
    </row>
    <row r="65" spans="1:25" ht="21" customHeight="1" x14ac:dyDescent="0.4">
      <c r="A65" s="3"/>
      <c r="B65" s="3"/>
      <c r="C65" s="3"/>
      <c r="D65" s="3"/>
      <c r="E65" s="3"/>
      <c r="F65" s="3"/>
      <c r="G65" s="3"/>
      <c r="H65" s="3"/>
      <c r="X65" s="3"/>
      <c r="Y65" s="3"/>
    </row>
    <row r="66" spans="1:25" ht="19.5" customHeight="1" x14ac:dyDescent="0.4">
      <c r="A66" s="3"/>
      <c r="B66" s="3"/>
      <c r="C66" s="3"/>
      <c r="D66" s="3"/>
      <c r="E66" s="3"/>
      <c r="F66" s="3"/>
      <c r="G66" s="3"/>
      <c r="H66" s="3"/>
      <c r="X66" s="3"/>
      <c r="Y66" s="3"/>
    </row>
    <row r="67" spans="1:25" ht="15" customHeight="1" x14ac:dyDescent="0.4">
      <c r="A67" s="3"/>
      <c r="B67" s="3"/>
      <c r="C67" s="3"/>
      <c r="D67" s="3"/>
      <c r="E67" s="3"/>
      <c r="F67" s="3"/>
      <c r="G67" s="3"/>
      <c r="H67" s="3"/>
    </row>
    <row r="68" spans="1:25" ht="15" customHeight="1" x14ac:dyDescent="0.4">
      <c r="A68" s="3"/>
      <c r="B68" s="3"/>
      <c r="C68" s="3"/>
      <c r="D68" s="3"/>
      <c r="E68" s="3"/>
      <c r="F68" s="3"/>
      <c r="G68" s="3"/>
      <c r="H68" s="3"/>
    </row>
    <row r="69" spans="1:25" ht="15" customHeight="1" x14ac:dyDescent="0.4">
      <c r="A69" s="3"/>
      <c r="B69" s="3"/>
      <c r="C69" s="3"/>
      <c r="D69" s="3"/>
      <c r="E69" s="3"/>
      <c r="F69" s="3"/>
      <c r="G69" s="3"/>
      <c r="H69" s="3"/>
    </row>
    <row r="70" spans="1:25" ht="15" customHeight="1" x14ac:dyDescent="0.4"/>
    <row r="71" spans="1:25" ht="15" customHeight="1" x14ac:dyDescent="0.4"/>
    <row r="72" spans="1:25" ht="15" customHeight="1" x14ac:dyDescent="0.4"/>
  </sheetData>
  <mergeCells count="21">
    <mergeCell ref="C36:C37"/>
    <mergeCell ref="L5:N5"/>
    <mergeCell ref="L2:U4"/>
    <mergeCell ref="A2:J4"/>
    <mergeCell ref="A5:C5"/>
    <mergeCell ref="C19:C20"/>
    <mergeCell ref="E19:E20"/>
    <mergeCell ref="C28:C29"/>
    <mergeCell ref="C10:C11"/>
    <mergeCell ref="C14:C15"/>
    <mergeCell ref="E14:E15"/>
    <mergeCell ref="E10:E12"/>
    <mergeCell ref="M8:N8"/>
    <mergeCell ref="N19:N20"/>
    <mergeCell ref="P19:P20"/>
    <mergeCell ref="N36:N37"/>
    <mergeCell ref="N28:N29"/>
    <mergeCell ref="N10:N11"/>
    <mergeCell ref="N14:N15"/>
    <mergeCell ref="P14:P15"/>
    <mergeCell ref="P10:P12"/>
  </mergeCells>
  <phoneticPr fontId="1" type="noConversion"/>
  <printOptions horizontalCentered="1" verticalCentered="1"/>
  <pageMargins left="0" right="0" top="0" bottom="0" header="0.31496062992125984" footer="0.31496062992125984"/>
  <pageSetup paperSize="9" scale="50" orientation="portrait" r:id="rId1"/>
  <colBreaks count="2" manualBreakCount="2">
    <brk id="10" max="48" man="1"/>
    <brk id="11" max="48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IHCC NC</vt:lpstr>
      <vt:lpstr>'IHCC NC'!Zone_d_impression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y.nassiri</dc:creator>
  <cp:lastModifiedBy>mourad ettahali elidrissi</cp:lastModifiedBy>
  <cp:lastPrinted>2024-07-24T16:26:15Z</cp:lastPrinted>
  <dcterms:created xsi:type="dcterms:W3CDTF">2012-12-04T10:02:57Z</dcterms:created>
  <dcterms:modified xsi:type="dcterms:W3CDTF">2026-05-12T19:27:59Z</dcterms:modified>
</cp:coreProperties>
</file>