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ownloads\Metrai_structure\Metrai\01_data_raw\projet_06_NOM_AFFAIRE\"/>
    </mc:Choice>
  </mc:AlternateContent>
  <xr:revisionPtr revIDLastSave="0" documentId="13_ncr:1_{C4E1E767-264B-4185-B460-CDAAB274A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3" r:id="rId1"/>
    <sheet name="Feuil2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13" l="1"/>
  <c r="T30" i="13"/>
  <c r="I31" i="13"/>
  <c r="I30" i="13"/>
  <c r="I28" i="13"/>
  <c r="I27" i="13"/>
  <c r="I26" i="13"/>
  <c r="S28" i="13" l="1"/>
  <c r="T28" i="13" s="1"/>
  <c r="H28" i="13"/>
  <c r="S39" i="13"/>
  <c r="T39" i="13" s="1"/>
  <c r="S37" i="13"/>
  <c r="T37" i="13" s="1"/>
  <c r="S35" i="13"/>
  <c r="T35" i="13" s="1"/>
  <c r="S33" i="13"/>
  <c r="T33" i="13" s="1"/>
  <c r="S31" i="13"/>
  <c r="S30" i="13"/>
  <c r="S26" i="13"/>
  <c r="T26" i="13" s="1"/>
  <c r="S24" i="13"/>
  <c r="T24" i="13" s="1"/>
  <c r="S22" i="13"/>
  <c r="T22" i="13" s="1"/>
  <c r="S20" i="13"/>
  <c r="T20" i="13" s="1"/>
  <c r="S18" i="13"/>
  <c r="T18" i="13" s="1"/>
  <c r="S16" i="13"/>
  <c r="T16" i="13" s="1"/>
  <c r="S14" i="13"/>
  <c r="T14" i="13" s="1"/>
  <c r="T41" i="13" s="1"/>
  <c r="S13" i="13"/>
  <c r="T13" i="13" s="1"/>
  <c r="S11" i="13"/>
  <c r="T11" i="13" s="1"/>
  <c r="H39" i="13"/>
  <c r="H35" i="13"/>
  <c r="I35" i="13" s="1"/>
  <c r="H33" i="13"/>
  <c r="I33" i="13" s="1"/>
  <c r="H27" i="13"/>
  <c r="H26" i="13"/>
  <c r="H24" i="13"/>
  <c r="I24" i="13" s="1"/>
  <c r="I39" i="13" l="1"/>
  <c r="H37" i="13"/>
  <c r="I37" i="13" s="1"/>
  <c r="H31" i="13"/>
  <c r="H30" i="13"/>
  <c r="T44" i="13" l="1"/>
  <c r="H22" i="13" l="1"/>
  <c r="I22" i="13" s="1"/>
  <c r="H20" i="13"/>
  <c r="I20" i="13" s="1"/>
  <c r="H18" i="13"/>
  <c r="I18" i="13" s="1"/>
  <c r="H16" i="13"/>
  <c r="I16" i="13" s="1"/>
  <c r="H14" i="13"/>
  <c r="I14" i="13" s="1"/>
  <c r="H13" i="13"/>
  <c r="I13" i="13" s="1"/>
  <c r="H11" i="13"/>
  <c r="I11" i="13" s="1"/>
  <c r="G29" i="14"/>
  <c r="G22" i="14"/>
  <c r="G21" i="14"/>
  <c r="G20" i="14"/>
  <c r="G19" i="14"/>
  <c r="G18" i="14"/>
  <c r="G17" i="14"/>
  <c r="I41" i="13" l="1"/>
  <c r="E15" i="14"/>
  <c r="G15" i="14" s="1"/>
  <c r="E16" i="14"/>
  <c r="G16" i="14" s="1"/>
  <c r="G26" i="14" l="1"/>
  <c r="I44" i="13"/>
</calcChain>
</file>

<file path=xl/sharedStrings.xml><?xml version="1.0" encoding="utf-8"?>
<sst xmlns="http://schemas.openxmlformats.org/spreadsheetml/2006/main" count="173" uniqueCount="88">
  <si>
    <t>Pos</t>
  </si>
  <si>
    <t>Quantité</t>
  </si>
  <si>
    <t>----</t>
  </si>
  <si>
    <t xml:space="preserve"> </t>
  </si>
  <si>
    <t>Poids Tot Kg</t>
  </si>
  <si>
    <t>Designation</t>
  </si>
  <si>
    <t>Long (mm)</t>
  </si>
  <si>
    <t>Poids Kg/(m)</t>
  </si>
  <si>
    <t>Poids Kg/Unt</t>
  </si>
  <si>
    <t>Nomenclatures</t>
  </si>
  <si>
    <t>BOULONNERIE + SOUDAGE</t>
  </si>
  <si>
    <t>Poids Tot en Kg</t>
  </si>
  <si>
    <t>POTEAU</t>
  </si>
  <si>
    <t>ECHANTIGNOLE</t>
  </si>
  <si>
    <t>TIGE D'ANCRAGE</t>
  </si>
  <si>
    <t>KG</t>
  </si>
  <si>
    <t>Ossature métallique</t>
  </si>
  <si>
    <t>ML</t>
  </si>
  <si>
    <t>Naissances eaux pluviales</t>
  </si>
  <si>
    <t>U</t>
  </si>
  <si>
    <t>ll,2,1</t>
  </si>
  <si>
    <t>ll,2,2</t>
  </si>
  <si>
    <t>ll,2,3</t>
  </si>
  <si>
    <t>ll,2,4</t>
  </si>
  <si>
    <t>ll,2,5</t>
  </si>
  <si>
    <t>ll,2,6</t>
  </si>
  <si>
    <t>ll,2,7</t>
  </si>
  <si>
    <t>ll,2,8</t>
  </si>
  <si>
    <t>ll,2,9</t>
  </si>
  <si>
    <t>ll,2,10</t>
  </si>
  <si>
    <t>ll,2,11</t>
  </si>
  <si>
    <t>Prix n°</t>
  </si>
  <si>
    <t>Unite</t>
  </si>
  <si>
    <t>Quantite</t>
  </si>
  <si>
    <t>Observation</t>
  </si>
  <si>
    <t>P.Total</t>
  </si>
  <si>
    <t>Prix Total H.T</t>
  </si>
  <si>
    <t>2/-CHARPENTE METALLIQUE</t>
  </si>
  <si>
    <t>M2</t>
  </si>
  <si>
    <t>Traitement de surface (Galvanisation)</t>
  </si>
  <si>
    <t xml:space="preserve">Client: </t>
  </si>
  <si>
    <t>SABLIERE</t>
  </si>
  <si>
    <t>CLE D'ANCRAGE</t>
  </si>
  <si>
    <t>P.Unt</t>
  </si>
  <si>
    <t>Ihab DBILIJ</t>
  </si>
  <si>
    <t>DIRECTEUR GENERAL</t>
  </si>
  <si>
    <t>PANNE</t>
  </si>
  <si>
    <t>POIDS BRUT</t>
  </si>
  <si>
    <t>1- Ossature métallique :</t>
  </si>
  <si>
    <t>Poids Tot Net en Kg</t>
  </si>
  <si>
    <t>Couverture en tole Nervesco 75/100</t>
  </si>
  <si>
    <t>Faux-Plafond en Tole Prelaque en U200*20</t>
  </si>
  <si>
    <t>Cheneaux</t>
  </si>
  <si>
    <t>Descente d'eau DN120</t>
  </si>
  <si>
    <t>Bandeau</t>
  </si>
  <si>
    <t>**</t>
  </si>
  <si>
    <t>Frais Kilometrique</t>
  </si>
  <si>
    <t>Qte</t>
  </si>
  <si>
    <t>km</t>
  </si>
  <si>
    <t>Pr/km</t>
  </si>
  <si>
    <t xml:space="preserve">(LAAYOUNE) </t>
  </si>
  <si>
    <t xml:space="preserve">TRAVAUX DE CONSTRUCTION D’UN AUVENT Dim: 15,5*10
BGI PETROLEUM
</t>
  </si>
  <si>
    <t>2-Travaux de charpente métallique -Auvent 2 Ilots-</t>
  </si>
  <si>
    <t>POUTRE</t>
  </si>
  <si>
    <t>POUTRE-JARRET</t>
  </si>
  <si>
    <t>HEA100</t>
  </si>
  <si>
    <t>IPE100</t>
  </si>
  <si>
    <t>CVT</t>
  </si>
  <si>
    <t>L60*6</t>
  </si>
  <si>
    <t>LIERNES</t>
  </si>
  <si>
    <t>ROND Ø30</t>
  </si>
  <si>
    <t>RAID PT/PT ET GOUSSET</t>
  </si>
  <si>
    <t>TN2000*1000*10</t>
  </si>
  <si>
    <t>ROND Ø35</t>
  </si>
  <si>
    <t>HEA200</t>
  </si>
  <si>
    <t>IPE180</t>
  </si>
  <si>
    <t>Le: 30 /05 / 2022</t>
  </si>
  <si>
    <t>D12</t>
  </si>
  <si>
    <t>LISSE DE BARDAGE</t>
  </si>
  <si>
    <t>PORTE METALLIQUE</t>
  </si>
  <si>
    <t>TUBE REC 80*40*3</t>
  </si>
  <si>
    <t>TN2000*1000*30</t>
  </si>
  <si>
    <t>PLATINE PIED DE POTEAU</t>
  </si>
  <si>
    <t>PLATINE PR</t>
  </si>
  <si>
    <t>TN2000*1000*15</t>
  </si>
  <si>
    <t>TN2000*1000*06</t>
  </si>
  <si>
    <t>TN3000*1500*4</t>
  </si>
  <si>
    <t>AFFAIRE: CHARPENTE NESTLE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</si>
</sst>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name val="Corbel"/>
      <family val="2"/>
    </font>
    <font>
      <b/>
      <sz val="12"/>
      <name val="Corbel"/>
      <family val="2"/>
    </font>
    <font>
      <b/>
      <sz val="11"/>
      <name val="Arial"/>
      <family val="2"/>
    </font>
    <font>
      <b/>
      <u/>
      <sz val="18"/>
      <name val="Corbel"/>
      <family val="2"/>
    </font>
    <font>
      <u/>
      <sz val="12"/>
      <color indexed="8"/>
      <name val="Corbel"/>
      <family val="2"/>
    </font>
    <font>
      <sz val="11"/>
      <name val="Arial"/>
      <family val="2"/>
    </font>
    <font>
      <sz val="13"/>
      <name val="Arial"/>
      <family val="2"/>
    </font>
    <font>
      <sz val="13"/>
      <color indexed="8"/>
      <name val="Arial"/>
      <family val="2"/>
    </font>
    <font>
      <b/>
      <sz val="14"/>
      <name val="Calibri"/>
      <family val="2"/>
    </font>
    <font>
      <b/>
      <u/>
      <sz val="13"/>
      <name val="Calibri Light"/>
      <family val="2"/>
    </font>
    <font>
      <b/>
      <i/>
      <sz val="11"/>
      <name val="Arial"/>
      <family val="2"/>
    </font>
    <font>
      <b/>
      <i/>
      <sz val="14"/>
      <name val="Corbel"/>
      <family val="2"/>
    </font>
    <font>
      <b/>
      <i/>
      <sz val="13"/>
      <name val="Arial"/>
      <family val="2"/>
    </font>
    <font>
      <b/>
      <sz val="12"/>
      <color rgb="FFFF0000"/>
      <name val="Corbel"/>
      <family val="2"/>
    </font>
    <font>
      <i/>
      <sz val="12"/>
      <name val="Arial"/>
      <family val="2"/>
    </font>
    <font>
      <sz val="12"/>
      <name val="Arial"/>
      <family val="2"/>
    </font>
    <font>
      <b/>
      <sz val="11"/>
      <name val="RomanC"/>
    </font>
    <font>
      <b/>
      <sz val="13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5" xfId="0" applyBorder="1"/>
    <xf numFmtId="0" fontId="0" fillId="0" borderId="6" xfId="0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6" fillId="0" borderId="8" xfId="0" applyFont="1" applyBorder="1"/>
    <xf numFmtId="0" fontId="0" fillId="0" borderId="9" xfId="0" applyBorder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0" fillId="0" borderId="3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0" fillId="0" borderId="3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4" fillId="2" borderId="18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0" xfId="0" applyFont="1" applyAlignment="1">
      <alignment horizontal="right" vertical="top"/>
    </xf>
    <xf numFmtId="0" fontId="19" fillId="0" borderId="27" xfId="0" applyFont="1" applyBorder="1" applyAlignment="1">
      <alignment horizontal="left" vertical="center"/>
    </xf>
    <xf numFmtId="0" fontId="19" fillId="0" borderId="2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2" fillId="3" borderId="18" xfId="0" applyNumberFormat="1" applyFont="1" applyFill="1" applyBorder="1" applyAlignment="1">
      <alignment vertical="center"/>
    </xf>
    <xf numFmtId="0" fontId="2" fillId="2" borderId="19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2" fontId="15" fillId="0" borderId="16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26" xfId="0" quotePrefix="1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0" xfId="0" applyNumberFormat="1"/>
    <xf numFmtId="2" fontId="26" fillId="0" borderId="8" xfId="0" applyNumberFormat="1" applyFont="1" applyBorder="1" applyAlignment="1">
      <alignment horizontal="right"/>
    </xf>
    <xf numFmtId="0" fontId="26" fillId="0" borderId="8" xfId="0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8" fillId="0" borderId="2" xfId="0" quotePrefix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0" borderId="2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"/>
  <sheetViews>
    <sheetView tabSelected="1" zoomScale="70" zoomScaleNormal="70" workbookViewId="0">
      <selection activeCell="S6" sqref="S6"/>
    </sheetView>
  </sheetViews>
  <sheetFormatPr baseColWidth="10" defaultRowHeight="14.4" x14ac:dyDescent="0.3"/>
  <cols>
    <col min="1" max="1" width="4.44140625" customWidth="1"/>
    <col min="2" max="2" width="5.33203125" bestFit="1" customWidth="1"/>
    <col min="3" max="3" width="31.109375" customWidth="1"/>
    <col min="4" max="4" width="10.109375" bestFit="1" customWidth="1"/>
    <col min="5" max="5" width="24.109375" bestFit="1" customWidth="1"/>
    <col min="6" max="6" width="11.88671875" bestFit="1" customWidth="1"/>
    <col min="7" max="7" width="13.6640625" bestFit="1" customWidth="1"/>
    <col min="8" max="8" width="14.44140625" bestFit="1" customWidth="1"/>
    <col min="9" max="9" width="17" bestFit="1" customWidth="1"/>
    <col min="10" max="10" width="4.109375" customWidth="1"/>
    <col min="11" max="11" width="7.109375" customWidth="1"/>
    <col min="12" max="12" width="4.5546875" customWidth="1"/>
    <col min="13" max="13" width="5.33203125" bestFit="1" customWidth="1"/>
    <col min="14" max="14" width="31.109375" bestFit="1" customWidth="1"/>
    <col min="15" max="15" width="11.5546875" customWidth="1"/>
    <col min="16" max="16" width="17.44140625" customWidth="1"/>
    <col min="17" max="17" width="15.44140625" customWidth="1"/>
    <col min="18" max="18" width="14" customWidth="1"/>
    <col min="19" max="19" width="15.33203125" customWidth="1"/>
    <col min="20" max="20" width="15.109375" customWidth="1"/>
    <col min="21" max="21" width="4" customWidth="1"/>
  </cols>
  <sheetData>
    <row r="1" spans="1:23" ht="15" thickBot="1" x14ac:dyDescent="0.35"/>
    <row r="2" spans="1:23" ht="18" customHeight="1" thickTop="1" x14ac:dyDescent="0.3">
      <c r="A2" s="108" t="s">
        <v>87</v>
      </c>
      <c r="B2" s="109"/>
      <c r="C2" s="109"/>
      <c r="D2" s="109"/>
      <c r="E2" s="109"/>
      <c r="F2" s="109"/>
      <c r="G2" s="109"/>
      <c r="H2" s="109"/>
      <c r="I2" s="109"/>
      <c r="J2" s="110"/>
      <c r="K2" s="43"/>
      <c r="L2" s="127" t="s">
        <v>87</v>
      </c>
      <c r="M2" s="128"/>
      <c r="N2" s="128"/>
      <c r="O2" s="128"/>
      <c r="P2" s="128"/>
      <c r="Q2" s="128"/>
      <c r="R2" s="128"/>
      <c r="S2" s="128"/>
      <c r="T2" s="128"/>
      <c r="U2" s="129"/>
    </row>
    <row r="3" spans="1:23" ht="15" customHeight="1" x14ac:dyDescent="0.3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43"/>
      <c r="L3" s="130"/>
      <c r="M3" s="131"/>
      <c r="N3" s="131"/>
      <c r="O3" s="131"/>
      <c r="P3" s="131"/>
      <c r="Q3" s="131"/>
      <c r="R3" s="131"/>
      <c r="S3" s="131"/>
      <c r="T3" s="131"/>
      <c r="U3" s="132"/>
    </row>
    <row r="4" spans="1:23" ht="9.75" customHeight="1" thickBot="1" x14ac:dyDescent="0.35">
      <c r="A4" s="111"/>
      <c r="B4" s="112"/>
      <c r="C4" s="112"/>
      <c r="D4" s="112"/>
      <c r="E4" s="112"/>
      <c r="F4" s="112"/>
      <c r="G4" s="112"/>
      <c r="H4" s="112"/>
      <c r="I4" s="112"/>
      <c r="J4" s="113"/>
      <c r="K4" s="43"/>
      <c r="L4" s="130"/>
      <c r="M4" s="131"/>
      <c r="N4" s="131"/>
      <c r="O4" s="131"/>
      <c r="P4" s="131"/>
      <c r="Q4" s="131"/>
      <c r="R4" s="131"/>
      <c r="S4" s="131"/>
      <c r="T4" s="131"/>
      <c r="U4" s="132"/>
    </row>
    <row r="5" spans="1:23" ht="18" customHeight="1" thickTop="1" x14ac:dyDescent="0.3">
      <c r="A5" s="114"/>
      <c r="B5" s="115"/>
      <c r="C5" s="115"/>
      <c r="D5" s="12"/>
      <c r="E5" s="12"/>
      <c r="F5" s="12"/>
      <c r="G5" s="12"/>
      <c r="H5" s="116" t="s">
        <v>76</v>
      </c>
      <c r="I5" s="116"/>
      <c r="J5" s="11"/>
      <c r="K5" s="42"/>
      <c r="L5" s="117"/>
      <c r="M5" s="118"/>
      <c r="N5" s="118"/>
      <c r="O5" s="12"/>
      <c r="P5" s="12"/>
      <c r="Q5" s="12" t="s">
        <v>40</v>
      </c>
      <c r="R5" s="12"/>
      <c r="S5" s="116" t="s">
        <v>76</v>
      </c>
      <c r="T5" s="116"/>
      <c r="U5" s="11"/>
    </row>
    <row r="6" spans="1:23" ht="18" customHeight="1" x14ac:dyDescent="0.3">
      <c r="A6" s="59"/>
      <c r="B6" s="60"/>
      <c r="C6" s="60"/>
      <c r="D6" s="24"/>
      <c r="F6" s="57"/>
      <c r="G6" s="3"/>
      <c r="H6" s="3"/>
      <c r="I6" s="3"/>
      <c r="J6" s="4"/>
      <c r="K6" s="3"/>
      <c r="L6" s="59"/>
      <c r="M6" s="60"/>
      <c r="N6" s="60"/>
      <c r="O6" s="24"/>
      <c r="Q6" s="57" t="s">
        <v>47</v>
      </c>
      <c r="R6" s="3"/>
      <c r="S6" s="3"/>
      <c r="T6" s="3"/>
      <c r="U6" s="4"/>
    </row>
    <row r="7" spans="1:23" ht="11.25" customHeight="1" x14ac:dyDescent="0.3">
      <c r="A7" s="40"/>
      <c r="B7" s="24"/>
      <c r="C7" s="24"/>
      <c r="D7" s="24"/>
      <c r="F7" s="57"/>
      <c r="G7" s="3"/>
      <c r="H7" s="3"/>
      <c r="I7" s="3"/>
      <c r="J7" s="4"/>
      <c r="K7" s="3"/>
      <c r="L7" s="40"/>
      <c r="M7" s="24"/>
      <c r="N7" s="24"/>
      <c r="O7" s="24"/>
      <c r="Q7" s="57"/>
      <c r="R7" s="3"/>
      <c r="S7" s="3"/>
      <c r="T7" s="3"/>
      <c r="U7" s="4"/>
    </row>
    <row r="8" spans="1:23" ht="18" customHeight="1" x14ac:dyDescent="0.3">
      <c r="A8" s="40"/>
      <c r="B8" s="24"/>
      <c r="C8" s="61" t="s">
        <v>48</v>
      </c>
      <c r="D8" s="24"/>
      <c r="F8" s="57"/>
      <c r="G8" s="3"/>
      <c r="H8" s="3"/>
      <c r="I8" s="3"/>
      <c r="J8" s="4"/>
      <c r="K8" s="3"/>
      <c r="L8" s="40"/>
      <c r="M8" s="24"/>
      <c r="N8" s="61" t="s">
        <v>48</v>
      </c>
      <c r="O8" s="24"/>
      <c r="Q8" s="57"/>
      <c r="R8" s="3"/>
      <c r="S8" s="3"/>
      <c r="T8" s="3"/>
      <c r="U8" s="4"/>
    </row>
    <row r="9" spans="1:23" ht="12" customHeight="1" thickBot="1" x14ac:dyDescent="0.35">
      <c r="A9" s="40"/>
      <c r="B9" s="62"/>
      <c r="C9" s="63"/>
      <c r="D9" s="24"/>
      <c r="E9" s="24"/>
      <c r="H9" s="24"/>
      <c r="I9" s="24"/>
      <c r="J9" s="4"/>
      <c r="K9" s="3"/>
      <c r="L9" s="40"/>
      <c r="M9" s="105"/>
      <c r="N9" s="105"/>
      <c r="O9" s="24"/>
      <c r="P9" s="24"/>
      <c r="S9" s="24"/>
      <c r="T9" s="24"/>
      <c r="U9" s="4"/>
    </row>
    <row r="10" spans="1:23" ht="16.2" thickBot="1" x14ac:dyDescent="0.35">
      <c r="A10" s="1"/>
      <c r="B10" s="87" t="s">
        <v>0</v>
      </c>
      <c r="C10" s="88" t="s">
        <v>9</v>
      </c>
      <c r="D10" s="88" t="s">
        <v>1</v>
      </c>
      <c r="E10" s="88" t="s">
        <v>5</v>
      </c>
      <c r="F10" s="89" t="s">
        <v>6</v>
      </c>
      <c r="G10" s="88" t="s">
        <v>7</v>
      </c>
      <c r="H10" s="89" t="s">
        <v>8</v>
      </c>
      <c r="I10" s="88" t="s">
        <v>4</v>
      </c>
      <c r="J10" s="2"/>
      <c r="L10" s="1"/>
      <c r="M10" s="87" t="s">
        <v>0</v>
      </c>
      <c r="N10" s="64" t="s">
        <v>9</v>
      </c>
      <c r="O10" s="88" t="s">
        <v>1</v>
      </c>
      <c r="P10" s="64" t="s">
        <v>5</v>
      </c>
      <c r="Q10" s="89" t="s">
        <v>6</v>
      </c>
      <c r="R10" s="64" t="s">
        <v>7</v>
      </c>
      <c r="S10" s="89" t="s">
        <v>8</v>
      </c>
      <c r="T10" s="64" t="s">
        <v>4</v>
      </c>
      <c r="U10" s="2"/>
    </row>
    <row r="11" spans="1:23" x14ac:dyDescent="0.3">
      <c r="A11" s="1"/>
      <c r="B11" s="17">
        <v>1</v>
      </c>
      <c r="C11" s="18" t="s">
        <v>12</v>
      </c>
      <c r="D11" s="18">
        <v>10</v>
      </c>
      <c r="E11" s="18" t="s">
        <v>74</v>
      </c>
      <c r="F11" s="18">
        <v>6000</v>
      </c>
      <c r="G11" s="18">
        <v>42.3</v>
      </c>
      <c r="H11" s="19">
        <f>+G11*F11/1000</f>
        <v>253.79999999999998</v>
      </c>
      <c r="I11" s="20">
        <f>+H11*D11</f>
        <v>2538</v>
      </c>
      <c r="J11" s="2"/>
      <c r="L11" s="1"/>
      <c r="M11" s="17">
        <v>1</v>
      </c>
      <c r="N11" s="18" t="s">
        <v>12</v>
      </c>
      <c r="O11" s="18">
        <v>5</v>
      </c>
      <c r="P11" s="18" t="s">
        <v>74</v>
      </c>
      <c r="Q11" s="100">
        <v>12000</v>
      </c>
      <c r="R11" s="18">
        <v>42.3</v>
      </c>
      <c r="S11" s="19">
        <f>+R11*Q11/1000</f>
        <v>507.59999999999997</v>
      </c>
      <c r="T11" s="20">
        <f>+S11*O11</f>
        <v>2538</v>
      </c>
      <c r="U11" s="2"/>
    </row>
    <row r="12" spans="1:23" x14ac:dyDescent="0.3">
      <c r="A12" s="1"/>
      <c r="B12" s="15">
        <v>2</v>
      </c>
      <c r="C12" s="14" t="s">
        <v>3</v>
      </c>
      <c r="D12" s="14"/>
      <c r="E12" s="14"/>
      <c r="F12" s="14"/>
      <c r="G12" s="14"/>
      <c r="H12" s="16"/>
      <c r="I12" s="21"/>
      <c r="J12" s="2"/>
      <c r="L12" s="1"/>
      <c r="M12" s="15">
        <v>2</v>
      </c>
      <c r="N12" s="14" t="s">
        <v>3</v>
      </c>
      <c r="O12" s="14"/>
      <c r="P12" s="14"/>
      <c r="Q12" s="14"/>
      <c r="R12" s="14"/>
      <c r="S12" s="16"/>
      <c r="T12" s="21"/>
      <c r="U12" s="2"/>
      <c r="W12" s="102"/>
    </row>
    <row r="13" spans="1:23" x14ac:dyDescent="0.3">
      <c r="A13" s="1"/>
      <c r="B13" s="15">
        <v>3</v>
      </c>
      <c r="C13" s="14" t="s">
        <v>63</v>
      </c>
      <c r="D13" s="14">
        <v>10</v>
      </c>
      <c r="E13" s="14" t="s">
        <v>75</v>
      </c>
      <c r="F13" s="14">
        <v>6000</v>
      </c>
      <c r="G13" s="14">
        <v>18.8</v>
      </c>
      <c r="H13" s="16">
        <f>+G13*F13/1000</f>
        <v>112.8</v>
      </c>
      <c r="I13" s="21">
        <f>+H13*D13</f>
        <v>1128</v>
      </c>
      <c r="J13" s="2"/>
      <c r="L13" s="1"/>
      <c r="M13" s="15">
        <v>3</v>
      </c>
      <c r="N13" s="14" t="s">
        <v>63</v>
      </c>
      <c r="O13" s="14">
        <v>8</v>
      </c>
      <c r="P13" s="14" t="s">
        <v>75</v>
      </c>
      <c r="Q13" s="101">
        <v>12000</v>
      </c>
      <c r="R13" s="14">
        <v>18.8</v>
      </c>
      <c r="S13" s="16">
        <f>+R13*Q13/1000</f>
        <v>225.6</v>
      </c>
      <c r="T13" s="21">
        <f>+S13*O13</f>
        <v>1804.8</v>
      </c>
      <c r="U13" s="2"/>
    </row>
    <row r="14" spans="1:23" x14ac:dyDescent="0.3">
      <c r="A14" s="1"/>
      <c r="B14" s="15">
        <v>4</v>
      </c>
      <c r="C14" s="14" t="s">
        <v>64</v>
      </c>
      <c r="D14" s="14">
        <v>20</v>
      </c>
      <c r="E14" s="14" t="s">
        <v>75</v>
      </c>
      <c r="F14" s="14">
        <v>1500</v>
      </c>
      <c r="G14" s="14">
        <v>18.8</v>
      </c>
      <c r="H14" s="16">
        <f t="shared" ref="H14" si="0">+G14*F14/1000</f>
        <v>28.2</v>
      </c>
      <c r="I14" s="21">
        <f t="shared" ref="I14" si="1">+H14*D14</f>
        <v>564</v>
      </c>
      <c r="J14" s="2"/>
      <c r="L14" s="1"/>
      <c r="M14" s="15">
        <v>4</v>
      </c>
      <c r="N14" s="14" t="s">
        <v>64</v>
      </c>
      <c r="O14" s="14">
        <v>0</v>
      </c>
      <c r="P14" s="14" t="s">
        <v>75</v>
      </c>
      <c r="Q14" s="14"/>
      <c r="R14" s="14">
        <v>18.8</v>
      </c>
      <c r="S14" s="16">
        <f t="shared" ref="S14" si="2">+R14*Q14/1000</f>
        <v>0</v>
      </c>
      <c r="T14" s="21">
        <f t="shared" ref="T14" si="3">+S14*O14</f>
        <v>0</v>
      </c>
      <c r="U14" s="2"/>
    </row>
    <row r="15" spans="1:23" x14ac:dyDescent="0.3">
      <c r="A15" s="1"/>
      <c r="B15" s="15">
        <v>5</v>
      </c>
      <c r="C15" s="14"/>
      <c r="D15" s="14"/>
      <c r="E15" s="14"/>
      <c r="F15" s="14"/>
      <c r="G15" s="14"/>
      <c r="H15" s="16"/>
      <c r="I15" s="21"/>
      <c r="J15" s="2"/>
      <c r="L15" s="1"/>
      <c r="M15" s="15">
        <v>5</v>
      </c>
      <c r="N15" s="14"/>
      <c r="O15" s="14"/>
      <c r="P15" s="14"/>
      <c r="Q15" s="14"/>
      <c r="R15" s="14"/>
      <c r="S15" s="16"/>
      <c r="T15" s="21"/>
      <c r="U15" s="2"/>
    </row>
    <row r="16" spans="1:23" x14ac:dyDescent="0.3">
      <c r="A16" s="1"/>
      <c r="B16" s="15">
        <v>6</v>
      </c>
      <c r="C16" s="14" t="s">
        <v>41</v>
      </c>
      <c r="D16" s="14">
        <v>8</v>
      </c>
      <c r="E16" s="14" t="s">
        <v>65</v>
      </c>
      <c r="F16" s="14">
        <v>6000</v>
      </c>
      <c r="G16" s="14">
        <v>16.7</v>
      </c>
      <c r="H16" s="16">
        <f t="shared" ref="H16" si="4">+G16*F16/1000</f>
        <v>100.2</v>
      </c>
      <c r="I16" s="21">
        <f t="shared" ref="I16" si="5">+H16*D16</f>
        <v>801.6</v>
      </c>
      <c r="J16" s="2"/>
      <c r="L16" s="1"/>
      <c r="M16" s="15">
        <v>6</v>
      </c>
      <c r="N16" s="14" t="s">
        <v>41</v>
      </c>
      <c r="O16" s="14">
        <v>4</v>
      </c>
      <c r="P16" s="14" t="s">
        <v>65</v>
      </c>
      <c r="Q16" s="101">
        <v>12000</v>
      </c>
      <c r="R16" s="14">
        <v>16.7</v>
      </c>
      <c r="S16" s="16">
        <f t="shared" ref="S16" si="6">+R16*Q16/1000</f>
        <v>200.4</v>
      </c>
      <c r="T16" s="21">
        <f t="shared" ref="T16" si="7">+S16*O16</f>
        <v>801.6</v>
      </c>
      <c r="U16" s="2"/>
    </row>
    <row r="17" spans="1:22" x14ac:dyDescent="0.3">
      <c r="A17" s="1"/>
      <c r="B17" s="15">
        <v>7</v>
      </c>
      <c r="C17" s="14"/>
      <c r="D17" s="14"/>
      <c r="E17" s="14"/>
      <c r="F17" s="14"/>
      <c r="G17" s="14"/>
      <c r="H17" s="16"/>
      <c r="I17" s="21"/>
      <c r="J17" s="2"/>
      <c r="L17" s="1"/>
      <c r="M17" s="15">
        <v>7</v>
      </c>
      <c r="N17" s="14"/>
      <c r="O17" s="14"/>
      <c r="P17" s="14"/>
      <c r="Q17" s="14"/>
      <c r="R17" s="14"/>
      <c r="S17" s="16"/>
      <c r="T17" s="21"/>
      <c r="U17" s="2"/>
    </row>
    <row r="18" spans="1:22" x14ac:dyDescent="0.3">
      <c r="A18" s="1"/>
      <c r="B18" s="15">
        <v>8</v>
      </c>
      <c r="C18" s="14" t="s">
        <v>46</v>
      </c>
      <c r="D18" s="14">
        <v>24</v>
      </c>
      <c r="E18" s="14" t="s">
        <v>66</v>
      </c>
      <c r="F18" s="14">
        <v>12000</v>
      </c>
      <c r="G18" s="14">
        <v>8.1</v>
      </c>
      <c r="H18" s="16">
        <f t="shared" ref="H18" si="8">+G18*F18/1000</f>
        <v>97.2</v>
      </c>
      <c r="I18" s="21">
        <f t="shared" ref="I18" si="9">+H18*D18</f>
        <v>2332.8000000000002</v>
      </c>
      <c r="J18" s="2"/>
      <c r="L18" s="1"/>
      <c r="M18" s="15">
        <v>8</v>
      </c>
      <c r="N18" s="14" t="s">
        <v>46</v>
      </c>
      <c r="O18" s="14">
        <v>24</v>
      </c>
      <c r="P18" s="14" t="s">
        <v>66</v>
      </c>
      <c r="Q18" s="101">
        <v>12000</v>
      </c>
      <c r="R18" s="14">
        <v>8.1</v>
      </c>
      <c r="S18" s="16">
        <f t="shared" ref="S18" si="10">+R18*Q18/1000</f>
        <v>97.2</v>
      </c>
      <c r="T18" s="21">
        <f t="shared" ref="T18" si="11">+S18*O18</f>
        <v>2332.8000000000002</v>
      </c>
      <c r="U18" s="2"/>
    </row>
    <row r="19" spans="1:22" x14ac:dyDescent="0.3">
      <c r="A19" s="1"/>
      <c r="B19" s="15">
        <v>9</v>
      </c>
      <c r="C19" s="14"/>
      <c r="D19" s="14"/>
      <c r="E19" s="14"/>
      <c r="F19" s="14"/>
      <c r="G19" s="14"/>
      <c r="H19" s="16"/>
      <c r="I19" s="21"/>
      <c r="J19" s="2"/>
      <c r="L19" s="1"/>
      <c r="M19" s="15">
        <v>9</v>
      </c>
      <c r="N19" s="14"/>
      <c r="O19" s="14"/>
      <c r="P19" s="14"/>
      <c r="Q19" s="14"/>
      <c r="R19" s="14"/>
      <c r="S19" s="16"/>
      <c r="T19" s="21"/>
      <c r="U19" s="2"/>
    </row>
    <row r="20" spans="1:22" x14ac:dyDescent="0.3">
      <c r="A20" s="1"/>
      <c r="B20" s="15">
        <v>10</v>
      </c>
      <c r="C20" s="14" t="s">
        <v>67</v>
      </c>
      <c r="D20" s="14">
        <v>8</v>
      </c>
      <c r="E20" s="14" t="s">
        <v>68</v>
      </c>
      <c r="F20" s="14">
        <v>8000</v>
      </c>
      <c r="G20" s="14">
        <v>5.42</v>
      </c>
      <c r="H20" s="16">
        <f t="shared" ref="H20" si="12">+G20*F20/1000</f>
        <v>43.36</v>
      </c>
      <c r="I20" s="21">
        <f t="shared" ref="I20" si="13">+H20*D20</f>
        <v>346.88</v>
      </c>
      <c r="J20" s="2"/>
      <c r="L20" s="1"/>
      <c r="M20" s="15">
        <v>10</v>
      </c>
      <c r="N20" s="14" t="s">
        <v>67</v>
      </c>
      <c r="O20" s="14">
        <v>8</v>
      </c>
      <c r="P20" s="14" t="s">
        <v>68</v>
      </c>
      <c r="Q20" s="101">
        <v>12000</v>
      </c>
      <c r="R20" s="14">
        <v>5.42</v>
      </c>
      <c r="S20" s="16">
        <f t="shared" ref="S20" si="14">+R20*Q20/1000</f>
        <v>65.040000000000006</v>
      </c>
      <c r="T20" s="21">
        <f t="shared" ref="T20" si="15">+S20*O20</f>
        <v>520.32000000000005</v>
      </c>
      <c r="U20" s="2"/>
    </row>
    <row r="21" spans="1:22" x14ac:dyDescent="0.3">
      <c r="A21" s="1"/>
      <c r="B21" s="15">
        <v>11</v>
      </c>
      <c r="C21" s="14"/>
      <c r="D21" s="14"/>
      <c r="E21" s="14"/>
      <c r="F21" s="14"/>
      <c r="G21" s="14"/>
      <c r="H21" s="16"/>
      <c r="I21" s="21"/>
      <c r="J21" s="2"/>
      <c r="L21" s="1"/>
      <c r="M21" s="15">
        <v>11</v>
      </c>
      <c r="N21" s="14"/>
      <c r="O21" s="14"/>
      <c r="P21" s="14"/>
      <c r="Q21" s="14"/>
      <c r="R21" s="14"/>
      <c r="S21" s="16"/>
      <c r="T21" s="21"/>
      <c r="U21" s="2"/>
    </row>
    <row r="22" spans="1:22" x14ac:dyDescent="0.3">
      <c r="A22" s="1"/>
      <c r="B22" s="15">
        <v>12</v>
      </c>
      <c r="C22" s="14" t="s">
        <v>69</v>
      </c>
      <c r="D22" s="14">
        <v>16</v>
      </c>
      <c r="E22" s="14" t="s">
        <v>77</v>
      </c>
      <c r="F22" s="14">
        <v>6000</v>
      </c>
      <c r="G22" s="14">
        <v>0.88800000000000001</v>
      </c>
      <c r="H22" s="16">
        <f t="shared" ref="H22" si="16">+G22*F22/1000</f>
        <v>5.3280000000000003</v>
      </c>
      <c r="I22" s="21">
        <f t="shared" ref="I22" si="17">+H22*D22</f>
        <v>85.248000000000005</v>
      </c>
      <c r="J22" s="2"/>
      <c r="L22" s="1"/>
      <c r="M22" s="15">
        <v>12</v>
      </c>
      <c r="N22" s="14" t="s">
        <v>69</v>
      </c>
      <c r="O22" s="14">
        <v>16</v>
      </c>
      <c r="P22" s="14" t="s">
        <v>77</v>
      </c>
      <c r="Q22" s="101">
        <v>6000</v>
      </c>
      <c r="R22" s="14">
        <v>0.88800000000000001</v>
      </c>
      <c r="S22" s="16">
        <f t="shared" ref="S22" si="18">+R22*Q22/1000</f>
        <v>5.3280000000000003</v>
      </c>
      <c r="T22" s="21">
        <f t="shared" ref="T22" si="19">+S22*O22</f>
        <v>85.248000000000005</v>
      </c>
      <c r="U22" s="2"/>
    </row>
    <row r="23" spans="1:22" x14ac:dyDescent="0.3">
      <c r="A23" s="1"/>
      <c r="B23" s="15">
        <v>13</v>
      </c>
      <c r="C23" s="14"/>
      <c r="D23" s="14"/>
      <c r="E23" s="14"/>
      <c r="F23" s="14"/>
      <c r="G23" s="14"/>
      <c r="H23" s="16"/>
      <c r="I23" s="21"/>
      <c r="J23" s="2"/>
      <c r="L23" s="1"/>
      <c r="M23" s="15">
        <v>13</v>
      </c>
      <c r="N23" s="14"/>
      <c r="O23" s="14"/>
      <c r="P23" s="14"/>
      <c r="Q23" s="14"/>
      <c r="R23" s="14"/>
      <c r="S23" s="16"/>
      <c r="T23" s="21"/>
      <c r="U23" s="2"/>
    </row>
    <row r="24" spans="1:22" x14ac:dyDescent="0.3">
      <c r="A24" s="1"/>
      <c r="B24" s="15">
        <v>14</v>
      </c>
      <c r="C24" s="14" t="s">
        <v>78</v>
      </c>
      <c r="D24" s="14">
        <v>8</v>
      </c>
      <c r="E24" s="14" t="s">
        <v>66</v>
      </c>
      <c r="F24" s="14">
        <v>12000</v>
      </c>
      <c r="G24" s="14">
        <v>8.1</v>
      </c>
      <c r="H24" s="16">
        <f t="shared" ref="H24" si="20">+G24*F24/1000</f>
        <v>97.2</v>
      </c>
      <c r="I24" s="21">
        <f t="shared" ref="I24:I31" si="21">+H24*D24</f>
        <v>777.6</v>
      </c>
      <c r="J24" s="2"/>
      <c r="L24" s="1"/>
      <c r="M24" s="15">
        <v>14</v>
      </c>
      <c r="N24" s="14" t="s">
        <v>78</v>
      </c>
      <c r="O24" s="14">
        <v>8</v>
      </c>
      <c r="P24" s="14" t="s">
        <v>66</v>
      </c>
      <c r="Q24" s="101">
        <v>12000</v>
      </c>
      <c r="R24" s="14">
        <v>8.1</v>
      </c>
      <c r="S24" s="16">
        <f t="shared" ref="S24" si="22">+R24*Q24/1000</f>
        <v>97.2</v>
      </c>
      <c r="T24" s="21">
        <f t="shared" ref="T24:T26" si="23">+S24*O24</f>
        <v>777.6</v>
      </c>
      <c r="U24" s="2"/>
    </row>
    <row r="25" spans="1:22" x14ac:dyDescent="0.3">
      <c r="A25" s="1"/>
      <c r="B25" s="15">
        <v>15</v>
      </c>
      <c r="C25" s="14"/>
      <c r="D25" s="14"/>
      <c r="E25" s="14"/>
      <c r="F25" s="14"/>
      <c r="G25" s="14"/>
      <c r="H25" s="16"/>
      <c r="I25" s="21"/>
      <c r="J25" s="2"/>
      <c r="L25" s="1"/>
      <c r="M25" s="15">
        <v>15</v>
      </c>
      <c r="N25" s="14"/>
      <c r="O25" s="14"/>
      <c r="P25" s="14"/>
      <c r="Q25" s="14"/>
      <c r="R25" s="14"/>
      <c r="S25" s="16"/>
      <c r="T25" s="21"/>
      <c r="U25" s="2"/>
    </row>
    <row r="26" spans="1:22" x14ac:dyDescent="0.3">
      <c r="A26" s="1"/>
      <c r="B26" s="15">
        <v>16</v>
      </c>
      <c r="C26" s="14" t="s">
        <v>79</v>
      </c>
      <c r="D26" s="14">
        <v>8</v>
      </c>
      <c r="E26" s="14" t="s">
        <v>80</v>
      </c>
      <c r="F26" s="14">
        <v>3000</v>
      </c>
      <c r="G26" s="14">
        <v>5.13</v>
      </c>
      <c r="H26" s="16">
        <f t="shared" ref="H26" si="24">+G26*F26/1000</f>
        <v>15.39</v>
      </c>
      <c r="I26" s="21">
        <f t="shared" si="21"/>
        <v>123.12</v>
      </c>
      <c r="J26" s="2"/>
      <c r="L26" s="1"/>
      <c r="M26" s="15">
        <v>16</v>
      </c>
      <c r="N26" s="14" t="s">
        <v>79</v>
      </c>
      <c r="O26" s="14">
        <v>6</v>
      </c>
      <c r="P26" s="14" t="s">
        <v>80</v>
      </c>
      <c r="Q26" s="101">
        <v>6000</v>
      </c>
      <c r="R26" s="14">
        <v>5.13</v>
      </c>
      <c r="S26" s="16">
        <f t="shared" ref="S26" si="25">+R26*Q26/1000</f>
        <v>30.78</v>
      </c>
      <c r="T26" s="21">
        <f t="shared" si="23"/>
        <v>184.68</v>
      </c>
      <c r="U26" s="2"/>
    </row>
    <row r="27" spans="1:22" x14ac:dyDescent="0.3">
      <c r="A27" s="1"/>
      <c r="B27" s="15">
        <v>17</v>
      </c>
      <c r="C27" s="14" t="s">
        <v>79</v>
      </c>
      <c r="D27" s="14">
        <v>8</v>
      </c>
      <c r="E27" s="14" t="s">
        <v>80</v>
      </c>
      <c r="F27" s="14">
        <v>1500</v>
      </c>
      <c r="G27" s="14">
        <v>5.13</v>
      </c>
      <c r="H27" s="16">
        <f t="shared" ref="H27" si="26">+G27*F27/1000</f>
        <v>7.6950000000000003</v>
      </c>
      <c r="I27" s="21">
        <f t="shared" si="21"/>
        <v>61.56</v>
      </c>
      <c r="J27" s="2"/>
      <c r="L27" s="1"/>
      <c r="M27" s="15">
        <v>17</v>
      </c>
      <c r="N27" s="14" t="s">
        <v>79</v>
      </c>
      <c r="O27" s="14">
        <v>0</v>
      </c>
      <c r="P27" s="14" t="s">
        <v>80</v>
      </c>
      <c r="Q27" s="14"/>
      <c r="R27" s="14"/>
      <c r="S27" s="16"/>
      <c r="T27" s="21"/>
      <c r="U27" s="2"/>
    </row>
    <row r="28" spans="1:22" x14ac:dyDescent="0.3">
      <c r="A28" s="1"/>
      <c r="B28" s="15">
        <v>18</v>
      </c>
      <c r="C28" s="14" t="s">
        <v>79</v>
      </c>
      <c r="D28" s="14">
        <v>4</v>
      </c>
      <c r="E28" s="14" t="s">
        <v>86</v>
      </c>
      <c r="F28" s="23" t="s">
        <v>2</v>
      </c>
      <c r="G28" s="23" t="s">
        <v>2</v>
      </c>
      <c r="H28" s="16">
        <f>3*1.5*4*8</f>
        <v>144</v>
      </c>
      <c r="I28" s="21">
        <f t="shared" si="21"/>
        <v>576</v>
      </c>
      <c r="J28" s="2"/>
      <c r="L28" s="1"/>
      <c r="M28" s="15">
        <v>18</v>
      </c>
      <c r="N28" s="14" t="s">
        <v>79</v>
      </c>
      <c r="O28" s="14">
        <v>4</v>
      </c>
      <c r="P28" s="14" t="s">
        <v>86</v>
      </c>
      <c r="Q28" s="23" t="s">
        <v>2</v>
      </c>
      <c r="R28" s="23" t="s">
        <v>2</v>
      </c>
      <c r="S28" s="16">
        <f>3*1.5*4*8</f>
        <v>144</v>
      </c>
      <c r="T28" s="21">
        <f>+S28*O28</f>
        <v>576</v>
      </c>
      <c r="U28" s="2"/>
    </row>
    <row r="29" spans="1:22" x14ac:dyDescent="0.3">
      <c r="A29" s="1"/>
      <c r="B29" s="15">
        <v>19</v>
      </c>
      <c r="C29" s="14"/>
      <c r="D29" s="14"/>
      <c r="E29" s="14"/>
      <c r="F29" s="14"/>
      <c r="G29" s="14"/>
      <c r="H29" s="16"/>
      <c r="I29" s="21"/>
      <c r="J29" s="2"/>
      <c r="L29" s="1"/>
      <c r="M29" s="15">
        <v>19</v>
      </c>
      <c r="N29" s="14"/>
      <c r="O29" s="14"/>
      <c r="P29" s="14"/>
      <c r="Q29" s="14"/>
      <c r="R29" s="14"/>
      <c r="S29" s="16"/>
      <c r="T29" s="21"/>
      <c r="U29" s="2"/>
    </row>
    <row r="30" spans="1:22" x14ac:dyDescent="0.3">
      <c r="A30" s="1"/>
      <c r="B30" s="15">
        <v>20</v>
      </c>
      <c r="C30" s="14" t="s">
        <v>14</v>
      </c>
      <c r="D30" s="14">
        <v>64</v>
      </c>
      <c r="E30" s="14" t="s">
        <v>70</v>
      </c>
      <c r="F30" s="14">
        <v>600</v>
      </c>
      <c r="G30" s="14">
        <v>5.55</v>
      </c>
      <c r="H30" s="16">
        <f t="shared" ref="H30:H31" si="27">+G30*F30/1000</f>
        <v>3.33</v>
      </c>
      <c r="I30" s="21">
        <f t="shared" si="21"/>
        <v>213.12</v>
      </c>
      <c r="J30" s="2"/>
      <c r="L30" s="1"/>
      <c r="M30" s="15">
        <v>20</v>
      </c>
      <c r="N30" s="14" t="s">
        <v>14</v>
      </c>
      <c r="O30" s="14">
        <v>64</v>
      </c>
      <c r="P30" s="14" t="s">
        <v>70</v>
      </c>
      <c r="Q30" s="14">
        <v>1000</v>
      </c>
      <c r="R30" s="14">
        <v>5.55</v>
      </c>
      <c r="S30" s="16">
        <f t="shared" ref="S30:S31" si="28">+R30*Q30/1000</f>
        <v>5.55</v>
      </c>
      <c r="T30" s="21">
        <f t="shared" ref="T30:T31" si="29">+S30*O30</f>
        <v>355.2</v>
      </c>
      <c r="U30" s="2"/>
    </row>
    <row r="31" spans="1:22" x14ac:dyDescent="0.3">
      <c r="A31" s="1"/>
      <c r="B31" s="15">
        <v>21</v>
      </c>
      <c r="C31" s="14" t="s">
        <v>42</v>
      </c>
      <c r="D31" s="14">
        <v>16</v>
      </c>
      <c r="E31" s="14" t="s">
        <v>73</v>
      </c>
      <c r="F31" s="14">
        <v>600</v>
      </c>
      <c r="G31" s="14">
        <v>7.55</v>
      </c>
      <c r="H31" s="16">
        <f t="shared" si="27"/>
        <v>4.53</v>
      </c>
      <c r="I31" s="21">
        <f t="shared" si="21"/>
        <v>72.48</v>
      </c>
      <c r="J31" s="2"/>
      <c r="L31" s="1"/>
      <c r="M31" s="15">
        <v>21</v>
      </c>
      <c r="N31" s="14" t="s">
        <v>42</v>
      </c>
      <c r="O31" s="14">
        <v>16</v>
      </c>
      <c r="P31" s="14" t="s">
        <v>73</v>
      </c>
      <c r="Q31" s="14">
        <v>600</v>
      </c>
      <c r="R31" s="14">
        <v>7.55</v>
      </c>
      <c r="S31" s="16">
        <f t="shared" si="28"/>
        <v>4.53</v>
      </c>
      <c r="T31" s="21">
        <f t="shared" si="29"/>
        <v>72.48</v>
      </c>
      <c r="U31" s="2"/>
    </row>
    <row r="32" spans="1:22" x14ac:dyDescent="0.3">
      <c r="A32" s="1"/>
      <c r="B32" s="15">
        <v>22</v>
      </c>
      <c r="C32" s="14"/>
      <c r="D32" s="14"/>
      <c r="E32" s="14"/>
      <c r="F32" s="14"/>
      <c r="G32" s="14"/>
      <c r="H32" s="16"/>
      <c r="I32" s="21"/>
      <c r="J32" s="2"/>
      <c r="L32" s="1"/>
      <c r="M32" s="15">
        <v>22</v>
      </c>
      <c r="N32" s="14"/>
      <c r="O32" s="14"/>
      <c r="P32" s="14"/>
      <c r="Q32" s="14"/>
      <c r="R32" s="14"/>
      <c r="S32" s="16"/>
      <c r="T32" s="21"/>
      <c r="U32" s="2"/>
      <c r="V32" s="102"/>
    </row>
    <row r="33" spans="1:21" x14ac:dyDescent="0.3">
      <c r="A33" s="1"/>
      <c r="B33" s="15">
        <v>23</v>
      </c>
      <c r="C33" s="14" t="s">
        <v>82</v>
      </c>
      <c r="D33" s="14">
        <v>3</v>
      </c>
      <c r="E33" s="14" t="s">
        <v>81</v>
      </c>
      <c r="F33" s="23" t="s">
        <v>2</v>
      </c>
      <c r="G33" s="23" t="s">
        <v>2</v>
      </c>
      <c r="H33" s="16">
        <f>2*1*30*8</f>
        <v>480</v>
      </c>
      <c r="I33" s="21">
        <f t="shared" ref="I33:I39" si="30">+H33*D33</f>
        <v>1440</v>
      </c>
      <c r="J33" s="2"/>
      <c r="L33" s="1"/>
      <c r="M33" s="15">
        <v>23</v>
      </c>
      <c r="N33" s="14" t="s">
        <v>82</v>
      </c>
      <c r="O33" s="14">
        <v>3</v>
      </c>
      <c r="P33" s="14" t="s">
        <v>81</v>
      </c>
      <c r="Q33" s="23" t="s">
        <v>2</v>
      </c>
      <c r="R33" s="23" t="s">
        <v>2</v>
      </c>
      <c r="S33" s="16">
        <f>2*1*30*8</f>
        <v>480</v>
      </c>
      <c r="T33" s="21">
        <f t="shared" ref="T33" si="31">+S33*O33</f>
        <v>1440</v>
      </c>
      <c r="U33" s="2"/>
    </row>
    <row r="34" spans="1:21" x14ac:dyDescent="0.3">
      <c r="A34" s="1"/>
      <c r="B34" s="15">
        <v>24</v>
      </c>
      <c r="C34" s="14"/>
      <c r="D34" s="14"/>
      <c r="E34" s="14"/>
      <c r="F34" s="23"/>
      <c r="G34" s="23"/>
      <c r="H34" s="16"/>
      <c r="I34" s="21"/>
      <c r="J34" s="2"/>
      <c r="L34" s="1"/>
      <c r="M34" s="15">
        <v>24</v>
      </c>
      <c r="N34" s="14"/>
      <c r="O34" s="14"/>
      <c r="P34" s="14"/>
      <c r="Q34" s="23"/>
      <c r="R34" s="23"/>
      <c r="S34" s="16"/>
      <c r="T34" s="21"/>
      <c r="U34" s="2"/>
    </row>
    <row r="35" spans="1:21" x14ac:dyDescent="0.3">
      <c r="A35" s="1"/>
      <c r="B35" s="15">
        <v>25</v>
      </c>
      <c r="C35" s="14" t="s">
        <v>83</v>
      </c>
      <c r="D35" s="14">
        <v>2</v>
      </c>
      <c r="E35" s="14" t="s">
        <v>84</v>
      </c>
      <c r="F35" s="23" t="s">
        <v>2</v>
      </c>
      <c r="G35" s="23" t="s">
        <v>2</v>
      </c>
      <c r="H35" s="16">
        <f>2*1*15*8</f>
        <v>240</v>
      </c>
      <c r="I35" s="21">
        <f t="shared" ref="I35" si="32">+H35*D35</f>
        <v>480</v>
      </c>
      <c r="J35" s="2"/>
      <c r="L35" s="1"/>
      <c r="M35" s="15">
        <v>25</v>
      </c>
      <c r="N35" s="14" t="s">
        <v>83</v>
      </c>
      <c r="O35" s="14">
        <v>2</v>
      </c>
      <c r="P35" s="14" t="s">
        <v>84</v>
      </c>
      <c r="Q35" s="23" t="s">
        <v>2</v>
      </c>
      <c r="R35" s="23" t="s">
        <v>2</v>
      </c>
      <c r="S35" s="16">
        <f>2*1*15*8</f>
        <v>240</v>
      </c>
      <c r="T35" s="21">
        <f t="shared" ref="T35" si="33">+S35*O35</f>
        <v>480</v>
      </c>
      <c r="U35" s="2"/>
    </row>
    <row r="36" spans="1:21" x14ac:dyDescent="0.3">
      <c r="A36" s="1"/>
      <c r="B36" s="15">
        <v>26</v>
      </c>
      <c r="C36" s="14"/>
      <c r="D36" s="14"/>
      <c r="E36" s="14"/>
      <c r="F36" s="14"/>
      <c r="G36" s="14"/>
      <c r="H36" s="16"/>
      <c r="I36" s="21"/>
      <c r="J36" s="2"/>
      <c r="L36" s="1"/>
      <c r="M36" s="15">
        <v>26</v>
      </c>
      <c r="N36" s="14"/>
      <c r="O36" s="14"/>
      <c r="P36" s="14"/>
      <c r="Q36" s="14"/>
      <c r="R36" s="14"/>
      <c r="S36" s="16"/>
      <c r="T36" s="21"/>
      <c r="U36" s="2"/>
    </row>
    <row r="37" spans="1:21" x14ac:dyDescent="0.3">
      <c r="A37" s="1"/>
      <c r="B37" s="15">
        <v>27</v>
      </c>
      <c r="C37" s="14" t="s">
        <v>71</v>
      </c>
      <c r="D37" s="14">
        <v>2</v>
      </c>
      <c r="E37" s="14" t="s">
        <v>72</v>
      </c>
      <c r="F37" s="23" t="s">
        <v>2</v>
      </c>
      <c r="G37" s="23" t="s">
        <v>2</v>
      </c>
      <c r="H37" s="16">
        <f>2*1*10*8</f>
        <v>160</v>
      </c>
      <c r="I37" s="21">
        <f t="shared" si="30"/>
        <v>320</v>
      </c>
      <c r="J37" s="2"/>
      <c r="L37" s="1"/>
      <c r="M37" s="15">
        <v>27</v>
      </c>
      <c r="N37" s="14" t="s">
        <v>71</v>
      </c>
      <c r="O37" s="14">
        <v>2</v>
      </c>
      <c r="P37" s="14" t="s">
        <v>72</v>
      </c>
      <c r="Q37" s="23" t="s">
        <v>2</v>
      </c>
      <c r="R37" s="23" t="s">
        <v>2</v>
      </c>
      <c r="S37" s="16">
        <f>2*1*10*8</f>
        <v>160</v>
      </c>
      <c r="T37" s="21">
        <f t="shared" ref="T37" si="34">+S37*O37</f>
        <v>320</v>
      </c>
      <c r="U37" s="2"/>
    </row>
    <row r="38" spans="1:21" x14ac:dyDescent="0.3">
      <c r="A38" s="1"/>
      <c r="B38" s="15">
        <v>28</v>
      </c>
      <c r="C38" s="14"/>
      <c r="D38" s="14"/>
      <c r="E38" s="14"/>
      <c r="F38" s="14"/>
      <c r="G38" s="14"/>
      <c r="H38" s="16"/>
      <c r="I38" s="21"/>
      <c r="J38" s="2"/>
      <c r="L38" s="1"/>
      <c r="M38" s="15">
        <v>28</v>
      </c>
      <c r="N38" s="14"/>
      <c r="O38" s="14"/>
      <c r="P38" s="14"/>
      <c r="Q38" s="14"/>
      <c r="R38" s="14"/>
      <c r="S38" s="16"/>
      <c r="T38" s="21"/>
      <c r="U38" s="2"/>
    </row>
    <row r="39" spans="1:21" x14ac:dyDescent="0.3">
      <c r="A39" s="1"/>
      <c r="B39" s="15">
        <v>29</v>
      </c>
      <c r="C39" s="14" t="s">
        <v>13</v>
      </c>
      <c r="D39" s="14">
        <v>1</v>
      </c>
      <c r="E39" s="14" t="s">
        <v>85</v>
      </c>
      <c r="F39" s="23" t="s">
        <v>2</v>
      </c>
      <c r="G39" s="23" t="s">
        <v>2</v>
      </c>
      <c r="H39" s="16">
        <f>2*1*6*8</f>
        <v>96</v>
      </c>
      <c r="I39" s="21">
        <f t="shared" si="30"/>
        <v>96</v>
      </c>
      <c r="J39" s="2"/>
      <c r="L39" s="1"/>
      <c r="M39" s="15">
        <v>29</v>
      </c>
      <c r="N39" s="14" t="s">
        <v>13</v>
      </c>
      <c r="O39" s="14">
        <v>1</v>
      </c>
      <c r="P39" s="14" t="s">
        <v>85</v>
      </c>
      <c r="Q39" s="23" t="s">
        <v>2</v>
      </c>
      <c r="R39" s="23" t="s">
        <v>2</v>
      </c>
      <c r="S39" s="16">
        <f>2*1*6*8</f>
        <v>96</v>
      </c>
      <c r="T39" s="21">
        <f t="shared" ref="T39" si="35">+S39*O39</f>
        <v>96</v>
      </c>
      <c r="U39" s="2"/>
    </row>
    <row r="40" spans="1:21" x14ac:dyDescent="0.3">
      <c r="A40" s="1"/>
      <c r="B40" s="15">
        <v>30</v>
      </c>
      <c r="C40" s="92"/>
      <c r="D40" s="92"/>
      <c r="E40" s="92"/>
      <c r="F40" s="92"/>
      <c r="G40" s="92"/>
      <c r="H40" s="93"/>
      <c r="I40" s="94"/>
      <c r="J40" s="2"/>
      <c r="L40" s="1"/>
      <c r="M40" s="15">
        <v>30</v>
      </c>
      <c r="N40" s="92"/>
      <c r="O40" s="92"/>
      <c r="P40" s="92"/>
      <c r="Q40" s="92"/>
      <c r="R40" s="92"/>
      <c r="S40" s="93"/>
      <c r="T40" s="94"/>
      <c r="U40" s="2"/>
    </row>
    <row r="41" spans="1:21" ht="15.6" x14ac:dyDescent="0.3">
      <c r="A41" s="1"/>
      <c r="B41" s="15">
        <v>31</v>
      </c>
      <c r="C41" s="14" t="s">
        <v>10</v>
      </c>
      <c r="D41" s="98">
        <v>0.05</v>
      </c>
      <c r="E41" s="99" t="s">
        <v>2</v>
      </c>
      <c r="F41" s="99" t="s">
        <v>2</v>
      </c>
      <c r="G41" s="99" t="s">
        <v>2</v>
      </c>
      <c r="H41" s="99" t="s">
        <v>2</v>
      </c>
      <c r="I41" s="21">
        <f>SUM(I11:I40)*0.05</f>
        <v>597.82040000000006</v>
      </c>
      <c r="J41" s="2"/>
      <c r="L41" s="1"/>
      <c r="M41" s="15">
        <v>31</v>
      </c>
      <c r="N41" s="14" t="s">
        <v>10</v>
      </c>
      <c r="O41" s="98">
        <v>0.05</v>
      </c>
      <c r="P41" s="99" t="s">
        <v>2</v>
      </c>
      <c r="Q41" s="99" t="s">
        <v>2</v>
      </c>
      <c r="R41" s="99" t="s">
        <v>2</v>
      </c>
      <c r="S41" s="99" t="s">
        <v>2</v>
      </c>
      <c r="T41" s="21">
        <f>SUM(T11:T40)*0.05</f>
        <v>619.23640000000012</v>
      </c>
      <c r="U41" s="2"/>
    </row>
    <row r="42" spans="1:21" x14ac:dyDescent="0.3">
      <c r="A42" s="1"/>
      <c r="B42" s="15">
        <v>32</v>
      </c>
      <c r="C42" s="28"/>
      <c r="D42" s="28"/>
      <c r="E42" s="28"/>
      <c r="F42" s="28"/>
      <c r="G42" s="95"/>
      <c r="H42" s="96"/>
      <c r="I42" s="97"/>
      <c r="J42" s="2"/>
      <c r="L42" s="1"/>
      <c r="M42" s="15">
        <v>32</v>
      </c>
      <c r="N42" s="28"/>
      <c r="O42" s="28"/>
      <c r="P42" s="28"/>
      <c r="Q42" s="28"/>
      <c r="R42" s="95"/>
      <c r="S42" s="96"/>
      <c r="T42" s="97"/>
      <c r="U42" s="2"/>
    </row>
    <row r="43" spans="1:21" ht="16.2" thickBot="1" x14ac:dyDescent="0.35">
      <c r="A43" s="1"/>
      <c r="B43" s="41">
        <v>33</v>
      </c>
      <c r="C43" s="65"/>
      <c r="D43" s="26"/>
      <c r="E43" s="27"/>
      <c r="F43" s="27"/>
      <c r="G43" s="27"/>
      <c r="H43" s="27"/>
      <c r="I43" s="22"/>
      <c r="J43" s="2"/>
      <c r="L43" s="1"/>
      <c r="M43" s="41">
        <v>33</v>
      </c>
      <c r="N43" s="65"/>
      <c r="O43" s="26"/>
      <c r="P43" s="27"/>
      <c r="Q43" s="27"/>
      <c r="R43" s="27"/>
      <c r="S43" s="27"/>
      <c r="T43" s="22"/>
      <c r="U43" s="2"/>
    </row>
    <row r="44" spans="1:21" ht="18" customHeight="1" thickBot="1" x14ac:dyDescent="0.35">
      <c r="A44" s="1"/>
      <c r="B44" s="9"/>
      <c r="C44" s="10"/>
      <c r="D44" s="10"/>
      <c r="E44" s="10"/>
      <c r="F44" s="13"/>
      <c r="G44" s="106" t="s">
        <v>49</v>
      </c>
      <c r="H44" s="107"/>
      <c r="I44" s="86">
        <f>SUM(I11:I43)</f>
        <v>12554.228400000002</v>
      </c>
      <c r="J44" s="2"/>
      <c r="K44" s="43"/>
      <c r="L44" s="1"/>
      <c r="M44" s="9"/>
      <c r="N44" s="10"/>
      <c r="O44" s="10"/>
      <c r="P44" s="10"/>
      <c r="Q44" s="13"/>
      <c r="R44" s="106" t="s">
        <v>11</v>
      </c>
      <c r="S44" s="107"/>
      <c r="T44" s="86">
        <f>SUM(T11:T43)</f>
        <v>13003.964400000001</v>
      </c>
      <c r="U44" s="2"/>
    </row>
    <row r="45" spans="1:21" ht="18" customHeight="1" x14ac:dyDescent="0.3">
      <c r="A45" s="1"/>
      <c r="B45" s="9"/>
      <c r="C45" s="10"/>
      <c r="D45" s="10"/>
      <c r="E45" s="10"/>
      <c r="F45" s="13"/>
      <c r="G45" s="70"/>
      <c r="H45" s="70"/>
      <c r="I45" s="66"/>
      <c r="J45" s="2"/>
      <c r="K45" s="43"/>
      <c r="L45" s="1"/>
      <c r="M45" s="9"/>
      <c r="N45" s="10"/>
      <c r="O45" s="10"/>
      <c r="P45" s="10"/>
      <c r="Q45" s="13"/>
      <c r="R45" s="70"/>
      <c r="S45" s="70"/>
      <c r="T45" s="66"/>
      <c r="U45" s="2"/>
    </row>
    <row r="46" spans="1:21" ht="18" customHeight="1" thickBot="1" x14ac:dyDescent="0.4">
      <c r="A46" s="5"/>
      <c r="B46" s="67"/>
      <c r="C46" s="68"/>
      <c r="D46" s="68"/>
      <c r="E46" s="68"/>
      <c r="F46" s="69"/>
      <c r="G46" s="103"/>
      <c r="H46" s="104"/>
      <c r="I46" s="104"/>
      <c r="J46" s="7"/>
      <c r="K46" s="43"/>
      <c r="L46" s="5"/>
      <c r="M46" s="6"/>
      <c r="N46" s="6"/>
      <c r="O46" s="25"/>
      <c r="P46" s="25"/>
      <c r="Q46" s="6"/>
      <c r="R46" s="103"/>
      <c r="S46" s="104"/>
      <c r="T46" s="104"/>
      <c r="U46" s="7"/>
    </row>
    <row r="47" spans="1:21" ht="18" customHeight="1" thickTop="1" x14ac:dyDescent="0.35">
      <c r="B47" s="9"/>
      <c r="C47" s="10"/>
      <c r="D47" s="10"/>
      <c r="E47" s="10"/>
      <c r="F47" s="13"/>
      <c r="G47" s="70"/>
      <c r="H47" s="70"/>
      <c r="I47" s="71"/>
      <c r="K47" s="43"/>
      <c r="M47" s="8"/>
      <c r="N47" s="8"/>
      <c r="O47" s="72"/>
      <c r="P47" s="72"/>
      <c r="Q47" s="8"/>
      <c r="R47" s="73"/>
      <c r="S47" s="74"/>
      <c r="T47" s="74"/>
    </row>
    <row r="48" spans="1:21" ht="17.399999999999999" x14ac:dyDescent="0.35">
      <c r="B48" s="8"/>
      <c r="C48" s="8"/>
      <c r="D48" s="8"/>
      <c r="E48" s="8"/>
      <c r="F48" s="8"/>
      <c r="G48" s="8"/>
      <c r="H48" s="8"/>
      <c r="I48" s="8"/>
    </row>
    <row r="49" spans="2:9" ht="17.399999999999999" x14ac:dyDescent="0.35">
      <c r="B49" s="8"/>
      <c r="C49" s="8"/>
      <c r="D49" s="8"/>
      <c r="E49" s="8"/>
      <c r="F49" s="8"/>
      <c r="G49" s="8"/>
      <c r="H49" s="8"/>
      <c r="I49" s="8"/>
    </row>
    <row r="50" spans="2:9" ht="17.399999999999999" x14ac:dyDescent="0.35">
      <c r="B50" s="8"/>
      <c r="C50" s="8"/>
      <c r="D50" s="8"/>
      <c r="E50" s="8"/>
      <c r="F50" s="8"/>
      <c r="G50" s="8"/>
      <c r="H50" s="8"/>
      <c r="I50" s="8"/>
    </row>
    <row r="51" spans="2:9" ht="17.399999999999999" x14ac:dyDescent="0.35">
      <c r="B51" s="8"/>
      <c r="C51" s="8"/>
      <c r="D51" s="8"/>
      <c r="E51" s="8"/>
      <c r="F51" s="8"/>
      <c r="G51" s="8"/>
      <c r="H51" s="8"/>
      <c r="I51" s="8"/>
    </row>
    <row r="52" spans="2:9" ht="17.399999999999999" x14ac:dyDescent="0.35">
      <c r="B52" s="8"/>
      <c r="C52" s="8"/>
      <c r="D52" s="8"/>
      <c r="E52" s="8"/>
      <c r="F52" s="8"/>
      <c r="G52" s="8"/>
      <c r="H52" s="8"/>
      <c r="I52" s="8"/>
    </row>
    <row r="53" spans="2:9" ht="17.399999999999999" x14ac:dyDescent="0.35">
      <c r="B53" s="8"/>
      <c r="C53" s="8"/>
      <c r="D53" s="8"/>
      <c r="E53" s="8"/>
      <c r="F53" s="8"/>
      <c r="G53" s="8"/>
      <c r="H53" s="8"/>
      <c r="I53" s="8"/>
    </row>
    <row r="54" spans="2:9" ht="17.399999999999999" x14ac:dyDescent="0.35">
      <c r="B54" s="8"/>
      <c r="C54" s="8"/>
      <c r="D54" s="8"/>
      <c r="E54" s="8"/>
      <c r="F54" s="8"/>
      <c r="G54" s="8"/>
      <c r="H54" s="8"/>
      <c r="I54" s="8"/>
    </row>
    <row r="55" spans="2:9" ht="17.399999999999999" x14ac:dyDescent="0.35">
      <c r="B55" s="8"/>
      <c r="C55" s="8"/>
      <c r="D55" s="8"/>
      <c r="E55" s="8"/>
      <c r="F55" s="8"/>
      <c r="G55" s="8"/>
      <c r="H55" s="8"/>
      <c r="I55" s="8"/>
    </row>
    <row r="56" spans="2:9" ht="17.399999999999999" x14ac:dyDescent="0.35">
      <c r="B56" s="8"/>
      <c r="C56" s="8"/>
      <c r="D56" s="8"/>
      <c r="E56" s="8"/>
      <c r="F56" s="8"/>
      <c r="G56" s="8"/>
      <c r="H56" s="8"/>
      <c r="I56" s="8"/>
    </row>
    <row r="57" spans="2:9" ht="17.399999999999999" x14ac:dyDescent="0.35">
      <c r="B57" s="8"/>
      <c r="C57" s="8"/>
      <c r="D57" s="8"/>
      <c r="E57" s="8"/>
      <c r="F57" s="8"/>
      <c r="G57" s="8"/>
      <c r="H57" s="8"/>
      <c r="I57" s="8"/>
    </row>
    <row r="58" spans="2:9" ht="17.399999999999999" x14ac:dyDescent="0.35">
      <c r="B58" s="8"/>
      <c r="C58" s="8"/>
      <c r="D58" s="8"/>
      <c r="E58" s="8"/>
      <c r="F58" s="8"/>
      <c r="G58" s="8"/>
      <c r="H58" s="8"/>
      <c r="I58" s="8"/>
    </row>
    <row r="59" spans="2:9" ht="17.399999999999999" x14ac:dyDescent="0.35">
      <c r="B59" s="8"/>
      <c r="C59" s="8"/>
      <c r="D59" s="8"/>
      <c r="E59" s="8"/>
      <c r="F59" s="8"/>
      <c r="G59" s="8"/>
      <c r="H59" s="8"/>
      <c r="I59" s="8"/>
    </row>
    <row r="60" spans="2:9" ht="17.399999999999999" x14ac:dyDescent="0.35">
      <c r="B60" s="8"/>
      <c r="C60" s="8"/>
      <c r="D60" s="8"/>
      <c r="E60" s="8"/>
      <c r="F60" s="8"/>
      <c r="G60" s="8"/>
      <c r="H60" s="8"/>
      <c r="I60" s="8"/>
    </row>
    <row r="61" spans="2:9" ht="17.399999999999999" x14ac:dyDescent="0.35">
      <c r="B61" s="8"/>
      <c r="C61" s="8"/>
      <c r="D61" s="8"/>
      <c r="E61" s="8"/>
      <c r="F61" s="8"/>
      <c r="G61" s="8"/>
      <c r="H61" s="8"/>
      <c r="I61" s="8"/>
    </row>
    <row r="62" spans="2:9" ht="17.399999999999999" x14ac:dyDescent="0.35">
      <c r="B62" s="8"/>
      <c r="C62" s="8"/>
      <c r="D62" s="8"/>
      <c r="E62" s="8"/>
      <c r="F62" s="8"/>
      <c r="G62" s="8"/>
      <c r="H62" s="8"/>
      <c r="I62" s="8"/>
    </row>
    <row r="63" spans="2:9" ht="17.399999999999999" x14ac:dyDescent="0.35">
      <c r="B63" s="8"/>
      <c r="C63" s="8"/>
      <c r="D63" s="8"/>
      <c r="E63" s="8"/>
      <c r="F63" s="8"/>
      <c r="G63" s="8"/>
      <c r="H63" s="8"/>
      <c r="I63" s="8"/>
    </row>
    <row r="64" spans="2:9" ht="17.399999999999999" x14ac:dyDescent="0.35">
      <c r="B64" s="8"/>
      <c r="C64" s="8"/>
      <c r="D64" s="8"/>
      <c r="E64" s="8"/>
      <c r="F64" s="8"/>
      <c r="G64" s="8"/>
      <c r="H64" s="8"/>
      <c r="I64" s="8"/>
    </row>
    <row r="65" spans="2:9" ht="17.399999999999999" x14ac:dyDescent="0.35">
      <c r="B65" s="8"/>
      <c r="C65" s="8"/>
      <c r="D65" s="8"/>
      <c r="E65" s="8"/>
      <c r="F65" s="8"/>
      <c r="G65" s="8"/>
      <c r="H65" s="8"/>
      <c r="I65" s="8"/>
    </row>
    <row r="66" spans="2:9" ht="17.399999999999999" x14ac:dyDescent="0.35">
      <c r="B66" s="8"/>
      <c r="C66" s="8"/>
      <c r="D66" s="8"/>
      <c r="E66" s="8"/>
      <c r="F66" s="8"/>
      <c r="G66" s="8"/>
      <c r="H66" s="8"/>
      <c r="I66" s="8"/>
    </row>
    <row r="67" spans="2:9" ht="17.399999999999999" x14ac:dyDescent="0.35">
      <c r="B67" s="8"/>
      <c r="C67" s="8"/>
      <c r="D67" s="8"/>
      <c r="E67" s="8"/>
      <c r="F67" s="8"/>
      <c r="G67" s="8"/>
      <c r="H67" s="8"/>
      <c r="I67" s="8"/>
    </row>
    <row r="68" spans="2:9" ht="17.399999999999999" x14ac:dyDescent="0.35">
      <c r="B68" s="8"/>
      <c r="C68" s="8"/>
      <c r="D68" s="8"/>
      <c r="E68" s="8"/>
      <c r="F68" s="8"/>
      <c r="G68" s="8"/>
      <c r="H68" s="8"/>
      <c r="I68" s="8"/>
    </row>
    <row r="69" spans="2:9" ht="17.399999999999999" x14ac:dyDescent="0.35">
      <c r="B69" s="8"/>
      <c r="C69" s="8"/>
      <c r="D69" s="8"/>
      <c r="E69" s="8"/>
      <c r="F69" s="8"/>
      <c r="G69" s="8"/>
      <c r="H69" s="8"/>
      <c r="I69" s="8"/>
    </row>
    <row r="70" spans="2:9" ht="17.399999999999999" x14ac:dyDescent="0.35">
      <c r="B70" s="8"/>
      <c r="C70" s="8"/>
      <c r="D70" s="8"/>
      <c r="E70" s="8"/>
      <c r="F70" s="8"/>
      <c r="G70" s="8"/>
      <c r="H70" s="8"/>
      <c r="I70" s="8"/>
    </row>
    <row r="71" spans="2:9" ht="17.399999999999999" x14ac:dyDescent="0.35">
      <c r="B71" s="8"/>
      <c r="C71" s="8"/>
      <c r="D71" s="8"/>
      <c r="E71" s="8"/>
      <c r="F71" s="8"/>
      <c r="G71" s="8"/>
      <c r="H71" s="8"/>
      <c r="I71" s="8"/>
    </row>
    <row r="72" spans="2:9" ht="17.399999999999999" x14ac:dyDescent="0.35">
      <c r="B72" s="8"/>
      <c r="C72" s="8"/>
      <c r="D72" s="8"/>
      <c r="E72" s="8"/>
      <c r="F72" s="8"/>
      <c r="G72" s="8"/>
      <c r="H72" s="8"/>
      <c r="I72" s="8"/>
    </row>
    <row r="73" spans="2:9" ht="17.399999999999999" x14ac:dyDescent="0.35">
      <c r="B73" s="8"/>
      <c r="C73" s="8"/>
      <c r="D73" s="8"/>
      <c r="E73" s="8"/>
      <c r="F73" s="8"/>
      <c r="G73" s="8"/>
      <c r="H73" s="8"/>
      <c r="I73" s="8"/>
    </row>
    <row r="74" spans="2:9" ht="17.399999999999999" x14ac:dyDescent="0.35">
      <c r="B74" s="8"/>
      <c r="C74" s="8"/>
      <c r="D74" s="8"/>
      <c r="E74" s="8"/>
      <c r="F74" s="8"/>
      <c r="G74" s="8"/>
      <c r="H74" s="8"/>
      <c r="I74" s="8"/>
    </row>
    <row r="75" spans="2:9" ht="17.399999999999999" x14ac:dyDescent="0.35">
      <c r="B75" s="8"/>
      <c r="C75" s="8"/>
      <c r="D75" s="8"/>
      <c r="E75" s="8"/>
      <c r="F75" s="8"/>
      <c r="G75" s="8"/>
      <c r="H75" s="8"/>
      <c r="I75" s="8"/>
    </row>
    <row r="76" spans="2:9" ht="17.399999999999999" x14ac:dyDescent="0.35">
      <c r="B76" s="8"/>
      <c r="C76" s="8"/>
      <c r="D76" s="8"/>
      <c r="E76" s="8"/>
      <c r="F76" s="8"/>
      <c r="G76" s="8"/>
      <c r="H76" s="8"/>
      <c r="I76" s="8"/>
    </row>
    <row r="77" spans="2:9" ht="17.399999999999999" x14ac:dyDescent="0.35">
      <c r="B77" s="8"/>
      <c r="C77" s="8"/>
      <c r="D77" s="8"/>
      <c r="E77" s="8"/>
      <c r="F77" s="8"/>
      <c r="G77" s="8"/>
      <c r="H77" s="8"/>
      <c r="I77" s="8"/>
    </row>
    <row r="78" spans="2:9" ht="17.399999999999999" x14ac:dyDescent="0.35">
      <c r="B78" s="8"/>
      <c r="C78" s="8"/>
      <c r="D78" s="8"/>
      <c r="E78" s="8"/>
      <c r="F78" s="8"/>
      <c r="G78" s="8"/>
      <c r="H78" s="8"/>
      <c r="I78" s="8"/>
    </row>
    <row r="79" spans="2:9" ht="17.399999999999999" x14ac:dyDescent="0.35">
      <c r="B79" s="8"/>
      <c r="C79" s="8"/>
      <c r="D79" s="8"/>
      <c r="E79" s="8"/>
      <c r="F79" s="8"/>
      <c r="G79" s="8"/>
      <c r="H79" s="8"/>
      <c r="I79" s="8"/>
    </row>
    <row r="80" spans="2:9" ht="17.399999999999999" x14ac:dyDescent="0.35">
      <c r="B80" s="8"/>
      <c r="C80" s="8"/>
      <c r="D80" s="8"/>
      <c r="E80" s="8"/>
      <c r="F80" s="8"/>
      <c r="G80" s="8"/>
      <c r="H80" s="8"/>
      <c r="I80" s="8"/>
    </row>
    <row r="81" spans="2:9" ht="17.399999999999999" x14ac:dyDescent="0.35">
      <c r="B81" s="8"/>
      <c r="C81" s="8"/>
      <c r="D81" s="8"/>
      <c r="E81" s="8"/>
      <c r="F81" s="8"/>
      <c r="G81" s="8"/>
      <c r="H81" s="8"/>
      <c r="I81" s="8"/>
    </row>
    <row r="82" spans="2:9" ht="17.399999999999999" x14ac:dyDescent="0.35">
      <c r="B82" s="8"/>
      <c r="C82" s="8"/>
      <c r="D82" s="8"/>
      <c r="E82" s="8"/>
      <c r="F82" s="8"/>
      <c r="G82" s="8"/>
      <c r="H82" s="8"/>
      <c r="I82" s="8"/>
    </row>
    <row r="83" spans="2:9" ht="17.399999999999999" x14ac:dyDescent="0.35">
      <c r="B83" s="8"/>
      <c r="C83" s="8"/>
      <c r="D83" s="8"/>
      <c r="E83" s="8"/>
      <c r="F83" s="8"/>
      <c r="G83" s="8"/>
      <c r="H83" s="8"/>
      <c r="I83" s="8"/>
    </row>
    <row r="84" spans="2:9" ht="17.399999999999999" x14ac:dyDescent="0.35">
      <c r="B84" s="8"/>
      <c r="C84" s="8"/>
      <c r="D84" s="8"/>
      <c r="E84" s="8"/>
      <c r="F84" s="8"/>
      <c r="G84" s="8"/>
      <c r="H84" s="8"/>
      <c r="I84" s="8"/>
    </row>
    <row r="85" spans="2:9" ht="17.399999999999999" x14ac:dyDescent="0.35">
      <c r="B85" s="8"/>
      <c r="C85" s="8"/>
      <c r="D85" s="8"/>
      <c r="E85" s="8"/>
      <c r="F85" s="8"/>
      <c r="G85" s="8"/>
      <c r="H85" s="8"/>
      <c r="I85" s="8"/>
    </row>
    <row r="86" spans="2:9" ht="17.399999999999999" x14ac:dyDescent="0.35">
      <c r="B86" s="8"/>
      <c r="C86" s="8"/>
      <c r="D86" s="8"/>
      <c r="E86" s="8"/>
      <c r="F86" s="8"/>
      <c r="G86" s="8"/>
      <c r="H86" s="8"/>
      <c r="I86" s="8"/>
    </row>
    <row r="87" spans="2:9" ht="17.399999999999999" x14ac:dyDescent="0.35">
      <c r="B87" s="8"/>
      <c r="C87" s="8"/>
      <c r="D87" s="8"/>
      <c r="E87" s="8"/>
      <c r="F87" s="8"/>
      <c r="G87" s="8"/>
      <c r="H87" s="8"/>
      <c r="I87" s="8"/>
    </row>
  </sheetData>
  <mergeCells count="11">
    <mergeCell ref="A2:J4"/>
    <mergeCell ref="L2:U4"/>
    <mergeCell ref="A5:C5"/>
    <mergeCell ref="H5:I5"/>
    <mergeCell ref="L5:N5"/>
    <mergeCell ref="S5:T5"/>
    <mergeCell ref="R46:T46"/>
    <mergeCell ref="M9:N9"/>
    <mergeCell ref="G44:H44"/>
    <mergeCell ref="R44:S44"/>
    <mergeCell ref="G46:I46"/>
  </mergeCells>
  <phoneticPr fontId="29" type="noConversion"/>
  <printOptions horizontalCentered="1" verticalCentered="1"/>
  <pageMargins left="0" right="0" top="0" bottom="0" header="0.31496062992125984" footer="0.31496062992125984"/>
  <pageSetup paperSize="9" scale="90" orientation="landscape" r:id="rId1"/>
  <rowBreaks count="1" manualBreakCount="1">
    <brk id="46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H34"/>
  <sheetViews>
    <sheetView workbookViewId="0">
      <selection activeCell="C29" sqref="C29"/>
    </sheetView>
  </sheetViews>
  <sheetFormatPr baseColWidth="10" defaultColWidth="11.44140625" defaultRowHeight="15.6" x14ac:dyDescent="0.3"/>
  <cols>
    <col min="1" max="1" width="11.44140625" style="29"/>
    <col min="2" max="2" width="10.109375" style="33" customWidth="1"/>
    <col min="3" max="3" width="54" style="33" customWidth="1"/>
    <col min="4" max="4" width="9.33203125" style="34" customWidth="1"/>
    <col min="5" max="5" width="13.44140625" style="34" customWidth="1"/>
    <col min="6" max="6" width="10.109375" style="35" customWidth="1"/>
    <col min="7" max="7" width="14.109375" style="34" customWidth="1"/>
    <col min="8" max="8" width="17.6640625" style="34" customWidth="1"/>
    <col min="9" max="16384" width="11.44140625" style="29"/>
  </cols>
  <sheetData>
    <row r="9" spans="2:8" ht="36" customHeight="1" x14ac:dyDescent="0.3">
      <c r="B9" s="119" t="s">
        <v>61</v>
      </c>
      <c r="C9" s="120"/>
      <c r="D9" s="120"/>
      <c r="E9" s="120"/>
      <c r="F9" s="120"/>
      <c r="G9" s="120"/>
      <c r="H9" s="120"/>
    </row>
    <row r="10" spans="2:8" ht="16.5" customHeight="1" x14ac:dyDescent="0.3">
      <c r="B10" s="30"/>
      <c r="C10" s="30"/>
      <c r="D10" s="30"/>
      <c r="E10" s="30"/>
      <c r="F10" s="31"/>
      <c r="G10" s="30"/>
      <c r="H10" s="30"/>
    </row>
    <row r="11" spans="2:8" ht="18.75" customHeight="1" x14ac:dyDescent="0.45">
      <c r="B11" s="121" t="s">
        <v>37</v>
      </c>
      <c r="C11" s="121"/>
      <c r="D11" s="121"/>
      <c r="E11" s="121"/>
      <c r="F11" s="121"/>
      <c r="G11" s="121"/>
      <c r="H11" s="121"/>
    </row>
    <row r="12" spans="2:8" ht="8.25" customHeight="1" thickBot="1" x14ac:dyDescent="0.35">
      <c r="B12" s="32"/>
    </row>
    <row r="13" spans="2:8" ht="21.75" customHeight="1" thickBot="1" x14ac:dyDescent="0.35">
      <c r="B13" s="122" t="s">
        <v>62</v>
      </c>
      <c r="C13" s="123"/>
      <c r="D13" s="123"/>
      <c r="E13" s="123"/>
      <c r="F13" s="123"/>
      <c r="G13" s="123"/>
      <c r="H13" s="124"/>
    </row>
    <row r="14" spans="2:8" ht="21.75" customHeight="1" thickBot="1" x14ac:dyDescent="0.35">
      <c r="B14" s="75" t="s">
        <v>31</v>
      </c>
      <c r="C14" s="76" t="s">
        <v>5</v>
      </c>
      <c r="D14" s="76" t="s">
        <v>32</v>
      </c>
      <c r="E14" s="76" t="s">
        <v>33</v>
      </c>
      <c r="F14" s="76" t="s">
        <v>43</v>
      </c>
      <c r="G14" s="76" t="s">
        <v>35</v>
      </c>
      <c r="H14" s="77" t="s">
        <v>34</v>
      </c>
    </row>
    <row r="15" spans="2:8" ht="21.75" customHeight="1" x14ac:dyDescent="0.3">
      <c r="B15" s="45" t="s">
        <v>20</v>
      </c>
      <c r="C15" s="46" t="s">
        <v>16</v>
      </c>
      <c r="D15" s="47" t="s">
        <v>15</v>
      </c>
      <c r="E15" s="90" t="e">
        <f>+Feuil1!#REF!</f>
        <v>#REF!</v>
      </c>
      <c r="F15" s="47">
        <v>18</v>
      </c>
      <c r="G15" s="47" t="e">
        <f>+E15*F15</f>
        <v>#REF!</v>
      </c>
      <c r="H15" s="48"/>
    </row>
    <row r="16" spans="2:8" ht="22.5" customHeight="1" x14ac:dyDescent="0.3">
      <c r="B16" s="36" t="s">
        <v>21</v>
      </c>
      <c r="C16" s="37" t="s">
        <v>39</v>
      </c>
      <c r="D16" s="38" t="s">
        <v>15</v>
      </c>
      <c r="E16" s="91" t="e">
        <f>+Feuil1!#REF!</f>
        <v>#REF!</v>
      </c>
      <c r="F16" s="38">
        <v>3</v>
      </c>
      <c r="G16" s="38" t="e">
        <f>+E16*F16</f>
        <v>#REF!</v>
      </c>
      <c r="H16" s="52"/>
    </row>
    <row r="17" spans="2:8" ht="22.5" customHeight="1" x14ac:dyDescent="0.3">
      <c r="B17" s="36" t="s">
        <v>22</v>
      </c>
      <c r="C17" s="37" t="s">
        <v>50</v>
      </c>
      <c r="D17" s="38" t="s">
        <v>38</v>
      </c>
      <c r="E17" s="38">
        <v>190</v>
      </c>
      <c r="F17" s="38">
        <v>180</v>
      </c>
      <c r="G17" s="38">
        <f t="shared" ref="G17:G22" si="0">+E17*F17</f>
        <v>34200</v>
      </c>
      <c r="H17" s="53"/>
    </row>
    <row r="18" spans="2:8" ht="22.5" customHeight="1" x14ac:dyDescent="0.3">
      <c r="B18" s="36" t="s">
        <v>23</v>
      </c>
      <c r="C18" s="37" t="s">
        <v>51</v>
      </c>
      <c r="D18" s="38" t="s">
        <v>38</v>
      </c>
      <c r="E18" s="38">
        <v>190</v>
      </c>
      <c r="F18" s="38">
        <v>240</v>
      </c>
      <c r="G18" s="38">
        <f t="shared" si="0"/>
        <v>45600</v>
      </c>
      <c r="H18" s="53"/>
    </row>
    <row r="19" spans="2:8" ht="22.5" customHeight="1" x14ac:dyDescent="0.3">
      <c r="B19" s="36" t="s">
        <v>24</v>
      </c>
      <c r="C19" s="37" t="s">
        <v>52</v>
      </c>
      <c r="D19" s="38" t="s">
        <v>17</v>
      </c>
      <c r="E19" s="38">
        <v>16</v>
      </c>
      <c r="F19" s="38">
        <v>350</v>
      </c>
      <c r="G19" s="38">
        <f t="shared" si="0"/>
        <v>5600</v>
      </c>
      <c r="H19" s="53"/>
    </row>
    <row r="20" spans="2:8" ht="22.5" customHeight="1" x14ac:dyDescent="0.3">
      <c r="B20" s="36" t="s">
        <v>25</v>
      </c>
      <c r="C20" s="37" t="s">
        <v>18</v>
      </c>
      <c r="D20" s="38" t="s">
        <v>19</v>
      </c>
      <c r="E20" s="38">
        <v>2</v>
      </c>
      <c r="F20" s="38">
        <v>200</v>
      </c>
      <c r="G20" s="38">
        <f t="shared" si="0"/>
        <v>400</v>
      </c>
      <c r="H20" s="53"/>
    </row>
    <row r="21" spans="2:8" ht="22.5" customHeight="1" x14ac:dyDescent="0.3">
      <c r="B21" s="36" t="s">
        <v>26</v>
      </c>
      <c r="C21" s="37" t="s">
        <v>53</v>
      </c>
      <c r="D21" s="38" t="s">
        <v>17</v>
      </c>
      <c r="E21" s="38">
        <v>15</v>
      </c>
      <c r="F21" s="38">
        <v>90</v>
      </c>
      <c r="G21" s="38">
        <f t="shared" si="0"/>
        <v>1350</v>
      </c>
      <c r="H21" s="53"/>
    </row>
    <row r="22" spans="2:8" ht="22.5" customHeight="1" x14ac:dyDescent="0.3">
      <c r="B22" s="36" t="s">
        <v>27</v>
      </c>
      <c r="C22" s="37" t="s">
        <v>54</v>
      </c>
      <c r="D22" s="38" t="s">
        <v>17</v>
      </c>
      <c r="E22" s="38">
        <v>56</v>
      </c>
      <c r="F22" s="38">
        <v>950</v>
      </c>
      <c r="G22" s="38">
        <f t="shared" si="0"/>
        <v>53200</v>
      </c>
      <c r="H22" s="53"/>
    </row>
    <row r="23" spans="2:8" ht="22.5" customHeight="1" x14ac:dyDescent="0.3">
      <c r="B23" s="36" t="s">
        <v>28</v>
      </c>
      <c r="C23" s="37"/>
      <c r="D23" s="38"/>
      <c r="E23" s="38"/>
      <c r="F23" s="38"/>
      <c r="G23" s="38"/>
      <c r="H23" s="53"/>
    </row>
    <row r="24" spans="2:8" ht="22.5" customHeight="1" x14ac:dyDescent="0.3">
      <c r="B24" s="36" t="s">
        <v>29</v>
      </c>
      <c r="C24" s="37"/>
      <c r="D24" s="38"/>
      <c r="E24" s="38"/>
      <c r="F24" s="38"/>
      <c r="G24" s="38"/>
      <c r="H24" s="53"/>
    </row>
    <row r="25" spans="2:8" ht="22.5" customHeight="1" thickBot="1" x14ac:dyDescent="0.35">
      <c r="B25" s="49" t="s">
        <v>30</v>
      </c>
      <c r="C25" s="50"/>
      <c r="D25" s="51"/>
      <c r="E25" s="51"/>
      <c r="F25" s="51"/>
      <c r="G25" s="51"/>
      <c r="H25" s="54"/>
    </row>
    <row r="26" spans="2:8" s="34" customFormat="1" ht="24" customHeight="1" thickBot="1" x14ac:dyDescent="0.35">
      <c r="B26" s="44"/>
      <c r="C26" s="58"/>
      <c r="D26" s="58"/>
      <c r="E26" s="125" t="s">
        <v>36</v>
      </c>
      <c r="F26" s="126"/>
      <c r="G26" s="78" t="e">
        <f>SUM(G15:G25)</f>
        <v>#REF!</v>
      </c>
      <c r="H26" s="55"/>
    </row>
    <row r="27" spans="2:8" ht="16.5" customHeight="1" thickBot="1" x14ac:dyDescent="0.35">
      <c r="B27" s="30"/>
      <c r="C27" s="30"/>
      <c r="D27" s="30"/>
      <c r="E27" s="30"/>
      <c r="F27" s="31"/>
      <c r="G27" s="30"/>
      <c r="H27" s="30"/>
    </row>
    <row r="28" spans="2:8" ht="20.25" customHeight="1" thickBot="1" x14ac:dyDescent="0.35">
      <c r="B28" s="79" t="s">
        <v>55</v>
      </c>
      <c r="C28" s="80" t="s">
        <v>56</v>
      </c>
      <c r="D28" s="81" t="s">
        <v>57</v>
      </c>
      <c r="E28" s="81" t="s">
        <v>58</v>
      </c>
      <c r="F28" s="81" t="s">
        <v>59</v>
      </c>
      <c r="G28" s="82" t="s">
        <v>35</v>
      </c>
    </row>
    <row r="29" spans="2:8" ht="20.25" customHeight="1" thickBot="1" x14ac:dyDescent="0.35">
      <c r="C29" s="83" t="s">
        <v>60</v>
      </c>
      <c r="D29" s="84">
        <v>2</v>
      </c>
      <c r="E29" s="84">
        <v>1080</v>
      </c>
      <c r="F29" s="84">
        <v>12</v>
      </c>
      <c r="G29" s="85">
        <f>+D29*E29*F29</f>
        <v>25920</v>
      </c>
    </row>
    <row r="30" spans="2:8" ht="20.25" customHeight="1" x14ac:dyDescent="0.3">
      <c r="C30" s="39"/>
      <c r="D30" s="35"/>
      <c r="E30" s="35"/>
    </row>
    <row r="31" spans="2:8" ht="20.25" customHeight="1" x14ac:dyDescent="0.3">
      <c r="C31" s="39"/>
      <c r="D31" s="35"/>
      <c r="E31" s="35"/>
    </row>
    <row r="32" spans="2:8" ht="20.25" customHeight="1" x14ac:dyDescent="0.3">
      <c r="C32" s="39"/>
      <c r="D32" s="35"/>
      <c r="E32" s="35"/>
    </row>
    <row r="33" spans="3:6" ht="20.25" customHeight="1" x14ac:dyDescent="0.3">
      <c r="C33" s="39"/>
      <c r="D33" s="35"/>
      <c r="E33" s="35"/>
      <c r="F33" s="56" t="s">
        <v>44</v>
      </c>
    </row>
    <row r="34" spans="3:6" ht="16.8" x14ac:dyDescent="0.3">
      <c r="C34" s="39"/>
      <c r="D34" s="35"/>
      <c r="E34" s="35"/>
      <c r="F34" s="56" t="s">
        <v>45</v>
      </c>
    </row>
  </sheetData>
  <mergeCells count="4">
    <mergeCell ref="B9:H9"/>
    <mergeCell ref="B11:H11"/>
    <mergeCell ref="B13:H13"/>
    <mergeCell ref="E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y.nassiri</dc:creator>
  <cp:lastModifiedBy>mourad ettahali elidrissi</cp:lastModifiedBy>
  <cp:lastPrinted>2022-04-25T10:27:28Z</cp:lastPrinted>
  <dcterms:created xsi:type="dcterms:W3CDTF">2012-12-04T10:02:57Z</dcterms:created>
  <dcterms:modified xsi:type="dcterms:W3CDTF">2026-05-12T19:33:50Z</dcterms:modified>
</cp:coreProperties>
</file>