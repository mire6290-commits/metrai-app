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TEBOOK\Desktop\METRAI\charpente agadir\"/>
    </mc:Choice>
  </mc:AlternateContent>
  <xr:revisionPtr revIDLastSave="0" documentId="13_ncr:1_{A1092095-3391-47BB-B59D-894F7787D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3" r:id="rId1"/>
  </sheets>
  <definedNames>
    <definedName name="_xlnm.Print_Area" localSheetId="0">Feuil1!$A$1:$U$66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3" l="1"/>
  <c r="I57" i="13" s="1"/>
  <c r="H29" i="13"/>
  <c r="I29" i="13" s="1"/>
  <c r="D22" i="13" l="1"/>
  <c r="H22" i="13"/>
  <c r="I22" i="13" l="1"/>
  <c r="H16" i="13"/>
  <c r="H46" i="13" l="1"/>
  <c r="I46" i="13" s="1"/>
  <c r="S42" i="13"/>
  <c r="T42" i="13" s="1"/>
  <c r="S41" i="13"/>
  <c r="T41" i="13" s="1"/>
  <c r="S45" i="13"/>
  <c r="T45" i="13" s="1"/>
  <c r="S46" i="13"/>
  <c r="T46" i="13" s="1"/>
  <c r="S56" i="13"/>
  <c r="T56" i="13" s="1"/>
  <c r="S40" i="13"/>
  <c r="T40" i="13" s="1"/>
  <c r="S39" i="13"/>
  <c r="T39" i="13" s="1"/>
  <c r="S37" i="13"/>
  <c r="T37" i="13" s="1"/>
  <c r="S35" i="13"/>
  <c r="T35" i="13" s="1"/>
  <c r="S31" i="13"/>
  <c r="T31" i="13" s="1"/>
  <c r="S27" i="13"/>
  <c r="T27" i="13" s="1"/>
  <c r="S25" i="13"/>
  <c r="T25" i="13" s="1"/>
  <c r="S19" i="13"/>
  <c r="T19" i="13" s="1"/>
  <c r="S18" i="13"/>
  <c r="T18" i="13" s="1"/>
  <c r="S16" i="13"/>
  <c r="T16" i="13" s="1"/>
  <c r="S14" i="13"/>
  <c r="T14" i="13" s="1"/>
  <c r="S12" i="13"/>
  <c r="T12" i="13" s="1"/>
  <c r="S11" i="13"/>
  <c r="T11" i="13" s="1"/>
  <c r="H58" i="13"/>
  <c r="I58" i="13" s="1"/>
  <c r="H56" i="13"/>
  <c r="I56" i="13" s="1"/>
  <c r="H54" i="13"/>
  <c r="I54" i="13" s="1"/>
  <c r="H53" i="13"/>
  <c r="I53" i="13" s="1"/>
  <c r="H55" i="13"/>
  <c r="I55" i="13" s="1"/>
  <c r="H47" i="13"/>
  <c r="I47" i="13" s="1"/>
  <c r="H48" i="13"/>
  <c r="I48" i="13" s="1"/>
  <c r="H52" i="13"/>
  <c r="I52" i="13" s="1"/>
  <c r="H51" i="13"/>
  <c r="I51" i="13" s="1"/>
  <c r="H50" i="13"/>
  <c r="I50" i="13" s="1"/>
  <c r="H49" i="13"/>
  <c r="I49" i="13" s="1"/>
  <c r="H21" i="13"/>
  <c r="I21" i="13" s="1"/>
  <c r="H43" i="13"/>
  <c r="I43" i="13" s="1"/>
  <c r="H42" i="13"/>
  <c r="I42" i="13" s="1"/>
  <c r="H41" i="13"/>
  <c r="I41" i="13" s="1"/>
  <c r="H37" i="13"/>
  <c r="I37" i="13" s="1"/>
  <c r="H45" i="13"/>
  <c r="H11" i="13"/>
  <c r="H23" i="13"/>
  <c r="I23" i="13" s="1"/>
  <c r="H28" i="13"/>
  <c r="I28" i="13" s="1"/>
  <c r="H14" i="13"/>
  <c r="I14" i="13" s="1"/>
  <c r="H19" i="13"/>
  <c r="I19" i="13" s="1"/>
  <c r="T60" i="13" l="1"/>
  <c r="I16" i="13"/>
  <c r="I45" i="13"/>
  <c r="H33" i="13"/>
  <c r="I33" i="13" s="1"/>
  <c r="H31" i="13"/>
  <c r="I31" i="13" s="1"/>
  <c r="H18" i="13"/>
  <c r="I18" i="13" s="1"/>
  <c r="H12" i="13"/>
  <c r="I12" i="13" s="1"/>
  <c r="H40" i="13"/>
  <c r="I40" i="13" s="1"/>
  <c r="H39" i="13"/>
  <c r="I39" i="13" s="1"/>
  <c r="H35" i="13" l="1"/>
  <c r="I35" i="13" s="1"/>
  <c r="H32" i="13"/>
  <c r="I32" i="13" s="1"/>
  <c r="H27" i="13"/>
  <c r="I27" i="13" s="1"/>
  <c r="H25" i="13"/>
  <c r="I25" i="13" s="1"/>
  <c r="I11" i="13"/>
  <c r="I60" i="13" l="1"/>
</calcChain>
</file>

<file path=xl/sharedStrings.xml><?xml version="1.0" encoding="utf-8"?>
<sst xmlns="http://schemas.openxmlformats.org/spreadsheetml/2006/main" count="180" uniqueCount="83">
  <si>
    <t>Pos</t>
  </si>
  <si>
    <t>Quantité</t>
  </si>
  <si>
    <t>----</t>
  </si>
  <si>
    <t xml:space="preserve"> </t>
  </si>
  <si>
    <t>Poids Tot Kg</t>
  </si>
  <si>
    <t>Designation</t>
  </si>
  <si>
    <t>Long (mm)</t>
  </si>
  <si>
    <t>Poids Kg/(m)</t>
  </si>
  <si>
    <t>Poids Kg/Unt</t>
  </si>
  <si>
    <t>Nomenclatures</t>
  </si>
  <si>
    <t>Poids Tot en Kg</t>
  </si>
  <si>
    <t>POTEAU</t>
  </si>
  <si>
    <t>TIGE D'ANCRAGE</t>
  </si>
  <si>
    <t xml:space="preserve">Client: </t>
  </si>
  <si>
    <t>SABLIERE</t>
  </si>
  <si>
    <t>PANNE</t>
  </si>
  <si>
    <t>POIDS BRUT</t>
  </si>
  <si>
    <t>1- Ossature métallique :</t>
  </si>
  <si>
    <t>Poids Tot Net en Kg</t>
  </si>
  <si>
    <t>POUTRE</t>
  </si>
  <si>
    <t>CVT</t>
  </si>
  <si>
    <t>LIERNES</t>
  </si>
  <si>
    <t>TN2000*1000*10</t>
  </si>
  <si>
    <t>IPE140</t>
  </si>
  <si>
    <t>TN2000*1000*15</t>
  </si>
  <si>
    <t>TN2000*1000*8</t>
  </si>
  <si>
    <t>TN2000*1000*6</t>
  </si>
  <si>
    <t>TN200*200*8</t>
  </si>
  <si>
    <t>TN2000*1000*25</t>
  </si>
  <si>
    <t>AFFAIRE: Charpente Agadir</t>
  </si>
  <si>
    <t>POIDS NET</t>
  </si>
  <si>
    <t>IPE180</t>
  </si>
  <si>
    <t>IPE160</t>
  </si>
  <si>
    <t>IPE200</t>
  </si>
  <si>
    <t>TCARRE 100*5</t>
  </si>
  <si>
    <t>IPE100</t>
  </si>
  <si>
    <t>TCAARE 120*5</t>
  </si>
  <si>
    <t>L70*5</t>
  </si>
  <si>
    <t>PLATINE POTEAU IPE180</t>
  </si>
  <si>
    <t>TN290*230*25</t>
  </si>
  <si>
    <t>PLATINE POTEAU IPE160</t>
  </si>
  <si>
    <t>TN200*200*15</t>
  </si>
  <si>
    <t>BECHE</t>
  </si>
  <si>
    <t>ROND Ø16</t>
  </si>
  <si>
    <t>ROND Ø20</t>
  </si>
  <si>
    <t>TN60*60*10</t>
  </si>
  <si>
    <t xml:space="preserve">PLATS </t>
  </si>
  <si>
    <t>Preplatine</t>
  </si>
  <si>
    <t>TN340*280*8</t>
  </si>
  <si>
    <t>Support donduite</t>
  </si>
  <si>
    <t>TROND 101,6*3,6</t>
  </si>
  <si>
    <t>TN290*100*10</t>
  </si>
  <si>
    <t>TN60*100*10</t>
  </si>
  <si>
    <t>TN203*100*15</t>
  </si>
  <si>
    <t>TN180*91*8</t>
  </si>
  <si>
    <t>GOUSSET POUTEAU IPE180</t>
  </si>
  <si>
    <t>RED IPE180</t>
  </si>
  <si>
    <t>RED IPE160</t>
  </si>
  <si>
    <t>TN 145*80*8</t>
  </si>
  <si>
    <t>TN 164*85*8</t>
  </si>
  <si>
    <t>Platine tcarre 100*5</t>
  </si>
  <si>
    <t>TN150*100*8</t>
  </si>
  <si>
    <t>COIFEE POUTEAU IPE180</t>
  </si>
  <si>
    <t>COIFEE POUTEAU IPE160</t>
  </si>
  <si>
    <t>TN160*82*8</t>
  </si>
  <si>
    <t>Renfort</t>
  </si>
  <si>
    <t>TN131*170*10</t>
  </si>
  <si>
    <t>GOUSSET CVT</t>
  </si>
  <si>
    <t>TN200*220*6</t>
  </si>
  <si>
    <t>TACHE PANNE</t>
  </si>
  <si>
    <t>TN140*195*6</t>
  </si>
  <si>
    <t>Platine POUTRE IPE200</t>
  </si>
  <si>
    <t>IPE120</t>
  </si>
  <si>
    <t>Support conduite</t>
  </si>
  <si>
    <t>POTELET LONPAN</t>
  </si>
  <si>
    <t>POTELET PIGNON</t>
  </si>
  <si>
    <t>FERME</t>
  </si>
  <si>
    <t>TCARRE 120*5</t>
  </si>
  <si>
    <t>POUTRE DE COMPRESSION</t>
  </si>
  <si>
    <t>SUPPORT VENTILATEUR</t>
  </si>
  <si>
    <t>Platine FAITAGE</t>
  </si>
  <si>
    <t>TN500*600*6</t>
  </si>
  <si>
    <t>Le: 26 /03 /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</si>
</sst>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5" xfId="0" applyBorder="1"/>
    <xf numFmtId="0" fontId="0" fillId="0" borderId="6" xfId="0" applyBorder="1"/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6" fillId="0" borderId="8" xfId="0" applyFont="1" applyBorder="1"/>
    <xf numFmtId="0" fontId="0" fillId="0" borderId="9" xfId="0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/>
    </xf>
    <xf numFmtId="9" fontId="5" fillId="0" borderId="11" xfId="0" applyNumberFormat="1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2" borderId="15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2" fontId="5" fillId="0" borderId="0" xfId="0" applyNumberFormat="1" applyFont="1" applyAlignment="1">
      <alignment vertical="center"/>
    </xf>
    <xf numFmtId="0" fontId="5" fillId="0" borderId="8" xfId="0" applyFont="1" applyBorder="1"/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4" fillId="2" borderId="17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12" fillId="0" borderId="0" xfId="0" applyFont="1"/>
    <xf numFmtId="0" fontId="0" fillId="0" borderId="23" xfId="0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0" xfId="0" applyNumberFormat="1"/>
    <xf numFmtId="2" fontId="0" fillId="7" borderId="10" xfId="0" applyNumberFormat="1" applyFill="1" applyBorder="1" applyAlignment="1">
      <alignment horizontal="center" vertical="center"/>
    </xf>
    <xf numFmtId="2" fontId="0" fillId="0" borderId="20" xfId="0" quotePrefix="1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9" fillId="0" borderId="8" xfId="0" applyNumberFormat="1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2" fontId="2" fillId="3" borderId="27" xfId="0" applyNumberFormat="1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9"/>
  <sheetViews>
    <sheetView tabSelected="1" zoomScale="85" zoomScaleNormal="85" workbookViewId="0">
      <selection activeCell="A64" sqref="A64:XFD68"/>
    </sheetView>
  </sheetViews>
  <sheetFormatPr baseColWidth="10" defaultRowHeight="14.4" x14ac:dyDescent="0.3"/>
  <cols>
    <col min="1" max="1" width="4.44140625" customWidth="1"/>
    <col min="2" max="2" width="5.33203125" bestFit="1" customWidth="1"/>
    <col min="3" max="3" width="31.109375" bestFit="1" customWidth="1"/>
    <col min="4" max="4" width="10.109375" bestFit="1" customWidth="1"/>
    <col min="5" max="5" width="17.5546875" customWidth="1"/>
    <col min="6" max="6" width="15.33203125" customWidth="1"/>
    <col min="7" max="7" width="13.6640625" bestFit="1" customWidth="1"/>
    <col min="8" max="8" width="14.44140625" bestFit="1" customWidth="1"/>
    <col min="9" max="9" width="17" bestFit="1" customWidth="1"/>
    <col min="10" max="10" width="4.109375" customWidth="1"/>
    <col min="11" max="11" width="7.109375" customWidth="1"/>
    <col min="12" max="12" width="4.5546875" customWidth="1"/>
    <col min="13" max="13" width="5.33203125" bestFit="1" customWidth="1"/>
    <col min="14" max="14" width="31.109375" bestFit="1" customWidth="1"/>
    <col min="15" max="15" width="11.5546875" customWidth="1"/>
    <col min="16" max="16" width="17.44140625" customWidth="1"/>
    <col min="17" max="17" width="15.44140625" customWidth="1"/>
    <col min="18" max="18" width="14" customWidth="1"/>
    <col min="19" max="19" width="15.33203125" customWidth="1"/>
    <col min="20" max="20" width="15.109375" customWidth="1"/>
    <col min="21" max="21" width="4" customWidth="1"/>
    <col min="22" max="22" width="16.33203125" customWidth="1"/>
  </cols>
  <sheetData>
    <row r="1" spans="1:22" ht="15" thickBot="1" x14ac:dyDescent="0.35"/>
    <row r="2" spans="1:22" ht="18" customHeight="1" thickTop="1" x14ac:dyDescent="0.3">
      <c r="A2" s="68" t="s">
        <v>29</v>
      </c>
      <c r="B2" s="69"/>
      <c r="C2" s="69"/>
      <c r="D2" s="69"/>
      <c r="E2" s="69"/>
      <c r="F2" s="69"/>
      <c r="G2" s="69"/>
      <c r="H2" s="69"/>
      <c r="I2" s="69"/>
      <c r="J2" s="70"/>
      <c r="K2" s="29"/>
      <c r="L2" s="74" t="s">
        <v>29</v>
      </c>
      <c r="M2" s="75"/>
      <c r="N2" s="75"/>
      <c r="O2" s="75"/>
      <c r="P2" s="75"/>
      <c r="Q2" s="75"/>
      <c r="R2" s="75"/>
      <c r="S2" s="75"/>
      <c r="T2" s="75"/>
      <c r="U2" s="76"/>
    </row>
    <row r="3" spans="1:22" ht="15" customHeight="1" x14ac:dyDescent="0.3">
      <c r="A3" s="71"/>
      <c r="B3" s="72"/>
      <c r="C3" s="72"/>
      <c r="D3" s="72"/>
      <c r="E3" s="72"/>
      <c r="F3" s="72"/>
      <c r="G3" s="72"/>
      <c r="H3" s="72"/>
      <c r="I3" s="72"/>
      <c r="J3" s="73"/>
      <c r="K3" s="29"/>
      <c r="L3" s="77"/>
      <c r="M3" s="78"/>
      <c r="N3" s="78"/>
      <c r="O3" s="78"/>
      <c r="P3" s="78"/>
      <c r="Q3" s="78"/>
      <c r="R3" s="78"/>
      <c r="S3" s="78"/>
      <c r="T3" s="78"/>
      <c r="U3" s="79"/>
    </row>
    <row r="4" spans="1:22" ht="9.75" customHeight="1" thickBot="1" x14ac:dyDescent="0.35">
      <c r="A4" s="71"/>
      <c r="B4" s="72"/>
      <c r="C4" s="72"/>
      <c r="D4" s="72"/>
      <c r="E4" s="72"/>
      <c r="F4" s="72"/>
      <c r="G4" s="72"/>
      <c r="H4" s="72"/>
      <c r="I4" s="72"/>
      <c r="J4" s="73"/>
      <c r="K4" s="29"/>
      <c r="L4" s="77"/>
      <c r="M4" s="78"/>
      <c r="N4" s="78"/>
      <c r="O4" s="78"/>
      <c r="P4" s="78"/>
      <c r="Q4" s="78"/>
      <c r="R4" s="78"/>
      <c r="S4" s="78"/>
      <c r="T4" s="78"/>
      <c r="U4" s="79"/>
    </row>
    <row r="5" spans="1:22" ht="18" customHeight="1" thickTop="1" x14ac:dyDescent="0.3">
      <c r="A5" s="80"/>
      <c r="B5" s="81"/>
      <c r="C5" s="81"/>
      <c r="D5" s="12"/>
      <c r="E5" s="12"/>
      <c r="F5" s="12" t="s">
        <v>13</v>
      </c>
      <c r="G5" s="12"/>
      <c r="H5" s="82" t="s">
        <v>82</v>
      </c>
      <c r="I5" s="82"/>
      <c r="J5" s="11"/>
      <c r="K5" s="28"/>
      <c r="L5" s="83"/>
      <c r="M5" s="84"/>
      <c r="N5" s="84"/>
      <c r="O5" s="12"/>
      <c r="P5" s="12"/>
      <c r="Q5" s="12" t="s">
        <v>13</v>
      </c>
      <c r="R5" s="12"/>
      <c r="S5" s="82" t="s">
        <v>82</v>
      </c>
      <c r="T5" s="82"/>
      <c r="U5" s="11"/>
    </row>
    <row r="6" spans="1:22" ht="18" customHeight="1" x14ac:dyDescent="0.3">
      <c r="A6" s="31"/>
      <c r="B6" s="32"/>
      <c r="C6" s="32"/>
      <c r="D6" s="22"/>
      <c r="F6" s="92" t="s">
        <v>30</v>
      </c>
      <c r="G6" s="3"/>
      <c r="H6" s="3"/>
      <c r="I6" s="3"/>
      <c r="J6" s="4"/>
      <c r="K6" s="3"/>
      <c r="L6" s="31"/>
      <c r="M6" s="32"/>
      <c r="N6" s="32"/>
      <c r="O6" s="22"/>
      <c r="Q6" s="92" t="s">
        <v>16</v>
      </c>
      <c r="R6" s="3"/>
      <c r="S6" s="3"/>
      <c r="T6" s="3"/>
      <c r="U6" s="4"/>
    </row>
    <row r="7" spans="1:22" ht="11.25" customHeight="1" x14ac:dyDescent="0.3">
      <c r="A7" s="27"/>
      <c r="B7" s="22"/>
      <c r="C7" s="22"/>
      <c r="D7" s="22"/>
      <c r="F7" s="30"/>
      <c r="G7" s="93"/>
      <c r="H7" s="3"/>
      <c r="I7" s="3"/>
      <c r="J7" s="4"/>
      <c r="K7" s="3"/>
      <c r="L7" s="27"/>
      <c r="M7" s="22"/>
      <c r="N7" s="22"/>
      <c r="O7" s="22"/>
      <c r="Q7" s="30"/>
      <c r="R7" s="3"/>
      <c r="S7" s="3"/>
      <c r="T7" s="3"/>
      <c r="U7" s="4"/>
    </row>
    <row r="8" spans="1:22" ht="18" customHeight="1" x14ac:dyDescent="0.3">
      <c r="A8" s="27"/>
      <c r="B8" s="22"/>
      <c r="C8" s="33" t="s">
        <v>17</v>
      </c>
      <c r="D8" s="22"/>
      <c r="F8" s="30"/>
      <c r="G8" s="3"/>
      <c r="H8" s="3"/>
      <c r="I8" s="3"/>
      <c r="J8" s="4"/>
      <c r="K8" s="3"/>
      <c r="L8" s="27"/>
      <c r="M8" s="22"/>
      <c r="N8" s="33" t="s">
        <v>17</v>
      </c>
      <c r="O8" s="22"/>
      <c r="Q8" s="30"/>
      <c r="R8" s="3"/>
      <c r="S8" s="3"/>
      <c r="T8" s="3"/>
      <c r="U8" s="4"/>
    </row>
    <row r="9" spans="1:22" ht="12" customHeight="1" thickBot="1" x14ac:dyDescent="0.35">
      <c r="A9" s="27"/>
      <c r="B9" s="34"/>
      <c r="C9" s="35"/>
      <c r="D9" s="22"/>
      <c r="E9" s="22"/>
      <c r="H9" s="22"/>
      <c r="I9" s="22"/>
      <c r="J9" s="4"/>
      <c r="K9" s="3"/>
      <c r="L9" s="27"/>
      <c r="M9" s="85"/>
      <c r="N9" s="85"/>
      <c r="O9" s="22"/>
      <c r="P9" s="22"/>
      <c r="S9" s="22"/>
      <c r="T9" s="22"/>
      <c r="U9" s="4"/>
    </row>
    <row r="10" spans="1:22" ht="16.2" thickBot="1" x14ac:dyDescent="0.35">
      <c r="A10" s="1"/>
      <c r="B10" s="100" t="s">
        <v>0</v>
      </c>
      <c r="C10" s="48" t="s">
        <v>9</v>
      </c>
      <c r="D10" s="48" t="s">
        <v>1</v>
      </c>
      <c r="E10" s="48" t="s">
        <v>5</v>
      </c>
      <c r="F10" s="49" t="s">
        <v>6</v>
      </c>
      <c r="G10" s="48" t="s">
        <v>7</v>
      </c>
      <c r="H10" s="49" t="s">
        <v>8</v>
      </c>
      <c r="I10" s="48" t="s">
        <v>4</v>
      </c>
      <c r="J10" s="2"/>
      <c r="L10" s="1"/>
      <c r="M10" s="100" t="s">
        <v>0</v>
      </c>
      <c r="N10" s="36" t="s">
        <v>9</v>
      </c>
      <c r="O10" s="48" t="s">
        <v>1</v>
      </c>
      <c r="P10" s="36" t="s">
        <v>5</v>
      </c>
      <c r="Q10" s="49" t="s">
        <v>6</v>
      </c>
      <c r="R10" s="36" t="s">
        <v>7</v>
      </c>
      <c r="S10" s="49" t="s">
        <v>8</v>
      </c>
      <c r="T10" s="36" t="s">
        <v>4</v>
      </c>
      <c r="U10" s="2"/>
    </row>
    <row r="11" spans="1:22" x14ac:dyDescent="0.3">
      <c r="A11" s="1"/>
      <c r="B11" s="99">
        <v>1</v>
      </c>
      <c r="C11" s="91" t="s">
        <v>11</v>
      </c>
      <c r="D11" s="16">
        <v>26</v>
      </c>
      <c r="E11" s="16" t="s">
        <v>31</v>
      </c>
      <c r="F11" s="16">
        <v>3000</v>
      </c>
      <c r="G11" s="16">
        <v>18.8</v>
      </c>
      <c r="H11" s="17">
        <f>+G11*F11/1000</f>
        <v>56.4</v>
      </c>
      <c r="I11" s="18">
        <f>+H11*D11</f>
        <v>1466.3999999999999</v>
      </c>
      <c r="J11" s="2"/>
      <c r="L11" s="1"/>
      <c r="M11" s="99">
        <v>2</v>
      </c>
      <c r="N11" s="91" t="s">
        <v>11</v>
      </c>
      <c r="O11" s="16">
        <v>7</v>
      </c>
      <c r="P11" s="16" t="s">
        <v>31</v>
      </c>
      <c r="Q11" s="60">
        <v>12000</v>
      </c>
      <c r="R11" s="16">
        <v>18.8</v>
      </c>
      <c r="S11" s="17">
        <f>+R11*Q11/1000</f>
        <v>225.6</v>
      </c>
      <c r="T11" s="18">
        <f>+S11*O11</f>
        <v>1579.2</v>
      </c>
      <c r="U11" s="2"/>
      <c r="V11" s="62"/>
    </row>
    <row r="12" spans="1:22" x14ac:dyDescent="0.3">
      <c r="A12" s="1"/>
      <c r="B12" s="97">
        <v>2</v>
      </c>
      <c r="C12" s="87"/>
      <c r="D12" s="26">
        <v>65</v>
      </c>
      <c r="E12" s="26" t="s">
        <v>32</v>
      </c>
      <c r="F12" s="26">
        <v>3000</v>
      </c>
      <c r="G12" s="26">
        <v>15.8</v>
      </c>
      <c r="H12" s="51">
        <f t="shared" ref="H12" si="0">+G12*F12/1000</f>
        <v>47.4</v>
      </c>
      <c r="I12" s="52">
        <f t="shared" ref="I12" si="1">+H12*D12</f>
        <v>3081</v>
      </c>
      <c r="J12" s="2"/>
      <c r="L12" s="1"/>
      <c r="M12" s="97">
        <v>3</v>
      </c>
      <c r="N12" s="87"/>
      <c r="O12" s="26">
        <v>17</v>
      </c>
      <c r="P12" s="26" t="s">
        <v>32</v>
      </c>
      <c r="Q12" s="59">
        <v>12000</v>
      </c>
      <c r="R12" s="26">
        <v>15.8</v>
      </c>
      <c r="S12" s="51">
        <f t="shared" ref="S12" si="2">+R12*Q12/1000</f>
        <v>189.6</v>
      </c>
      <c r="T12" s="52">
        <f t="shared" ref="T12" si="3">+S12*O12</f>
        <v>3223.2</v>
      </c>
      <c r="U12" s="2"/>
      <c r="V12" s="62"/>
    </row>
    <row r="13" spans="1:22" x14ac:dyDescent="0.3">
      <c r="A13" s="1"/>
      <c r="B13" s="97">
        <v>3</v>
      </c>
      <c r="C13" s="26"/>
      <c r="D13" s="26"/>
      <c r="E13" s="26"/>
      <c r="F13" s="26"/>
      <c r="G13" s="26"/>
      <c r="H13" s="51"/>
      <c r="I13" s="52"/>
      <c r="J13" s="2"/>
      <c r="L13" s="1"/>
      <c r="M13" s="97">
        <v>4</v>
      </c>
      <c r="N13" s="26"/>
      <c r="O13" s="26"/>
      <c r="P13" s="26"/>
      <c r="Q13" s="26"/>
      <c r="R13" s="26"/>
      <c r="S13" s="51"/>
      <c r="T13" s="52"/>
      <c r="U13" s="2"/>
      <c r="V13" s="62"/>
    </row>
    <row r="14" spans="1:22" x14ac:dyDescent="0.3">
      <c r="A14" s="1"/>
      <c r="B14" s="97">
        <v>4</v>
      </c>
      <c r="C14" s="26" t="s">
        <v>75</v>
      </c>
      <c r="D14" s="26">
        <v>12</v>
      </c>
      <c r="E14" s="26" t="s">
        <v>35</v>
      </c>
      <c r="F14" s="26">
        <v>3600</v>
      </c>
      <c r="G14" s="26">
        <v>8.1</v>
      </c>
      <c r="H14" s="15">
        <f>+G14*F14/1000</f>
        <v>29.16</v>
      </c>
      <c r="I14" s="19">
        <f>+H14*D14</f>
        <v>349.92</v>
      </c>
      <c r="J14" s="2"/>
      <c r="L14" s="1"/>
      <c r="M14" s="97">
        <v>5</v>
      </c>
      <c r="N14" s="26" t="s">
        <v>75</v>
      </c>
      <c r="O14" s="26">
        <v>77</v>
      </c>
      <c r="P14" s="26" t="s">
        <v>35</v>
      </c>
      <c r="Q14" s="59">
        <v>12000</v>
      </c>
      <c r="R14" s="26">
        <v>8.1</v>
      </c>
      <c r="S14" s="15">
        <f>+R14*Q14/1000</f>
        <v>97.2</v>
      </c>
      <c r="T14" s="19">
        <f>+S14*O14</f>
        <v>7484.4000000000005</v>
      </c>
      <c r="U14" s="2"/>
      <c r="V14" s="62"/>
    </row>
    <row r="15" spans="1:22" x14ac:dyDescent="0.3">
      <c r="A15" s="1"/>
      <c r="B15" s="97">
        <v>5</v>
      </c>
      <c r="C15" s="26"/>
      <c r="D15" s="26"/>
      <c r="E15" s="26"/>
      <c r="F15" s="26"/>
      <c r="G15" s="26"/>
      <c r="H15" s="51"/>
      <c r="I15" s="52"/>
      <c r="J15" s="2"/>
      <c r="L15" s="1"/>
      <c r="M15" s="97">
        <v>6</v>
      </c>
      <c r="N15" s="26"/>
      <c r="O15" s="26"/>
      <c r="P15" s="26"/>
      <c r="Q15" s="26"/>
      <c r="R15" s="26"/>
      <c r="S15" s="51"/>
      <c r="T15" s="52"/>
      <c r="U15" s="2"/>
      <c r="V15" s="62"/>
    </row>
    <row r="16" spans="1:22" x14ac:dyDescent="0.3">
      <c r="A16" s="1"/>
      <c r="B16" s="97">
        <v>6</v>
      </c>
      <c r="C16" s="26" t="s">
        <v>74</v>
      </c>
      <c r="D16" s="26">
        <v>84</v>
      </c>
      <c r="E16" s="26" t="s">
        <v>72</v>
      </c>
      <c r="F16" s="26">
        <v>2820</v>
      </c>
      <c r="G16" s="26">
        <v>10.4</v>
      </c>
      <c r="H16" s="15">
        <f>+G16*F16/1000</f>
        <v>29.327999999999999</v>
      </c>
      <c r="I16" s="19">
        <f>+H16*D16</f>
        <v>2463.5520000000001</v>
      </c>
      <c r="J16" s="2"/>
      <c r="L16" s="1"/>
      <c r="M16" s="97">
        <v>7</v>
      </c>
      <c r="N16" s="26" t="s">
        <v>74</v>
      </c>
      <c r="O16" s="26">
        <v>21</v>
      </c>
      <c r="P16" s="26" t="s">
        <v>72</v>
      </c>
      <c r="Q16" s="59">
        <v>12000</v>
      </c>
      <c r="R16" s="26">
        <v>10.4</v>
      </c>
      <c r="S16" s="15">
        <f>+R16*Q16/1000</f>
        <v>124.8</v>
      </c>
      <c r="T16" s="19">
        <f>+S16*O16</f>
        <v>2620.7999999999997</v>
      </c>
      <c r="U16" s="2"/>
      <c r="V16" s="62"/>
    </row>
    <row r="17" spans="1:22" x14ac:dyDescent="0.3">
      <c r="A17" s="1"/>
      <c r="B17" s="97">
        <v>7</v>
      </c>
      <c r="C17" s="14" t="s">
        <v>3</v>
      </c>
      <c r="D17" s="14"/>
      <c r="E17" s="14"/>
      <c r="F17" s="14"/>
      <c r="G17" s="14"/>
      <c r="H17" s="15"/>
      <c r="I17" s="19"/>
      <c r="J17" s="2"/>
      <c r="L17" s="1"/>
      <c r="M17" s="97">
        <v>8</v>
      </c>
      <c r="N17" s="14" t="s">
        <v>3</v>
      </c>
      <c r="O17" s="14"/>
      <c r="P17" s="14"/>
      <c r="Q17" s="14"/>
      <c r="R17" s="14"/>
      <c r="S17" s="15"/>
      <c r="T17" s="19"/>
      <c r="U17" s="2"/>
      <c r="V17" s="62"/>
    </row>
    <row r="18" spans="1:22" x14ac:dyDescent="0.3">
      <c r="A18" s="1"/>
      <c r="B18" s="97">
        <v>8</v>
      </c>
      <c r="C18" s="14" t="s">
        <v>76</v>
      </c>
      <c r="D18" s="14">
        <v>156</v>
      </c>
      <c r="E18" s="14" t="s">
        <v>33</v>
      </c>
      <c r="F18" s="14">
        <v>6240</v>
      </c>
      <c r="G18" s="14">
        <v>22.4</v>
      </c>
      <c r="H18" s="15">
        <f>+G18*F18/1000</f>
        <v>139.77600000000001</v>
      </c>
      <c r="I18" s="19">
        <f>+H18*D18</f>
        <v>21805.056</v>
      </c>
      <c r="J18" s="2"/>
      <c r="L18" s="1"/>
      <c r="M18" s="97">
        <v>9</v>
      </c>
      <c r="N18" s="14" t="s">
        <v>19</v>
      </c>
      <c r="O18" s="14">
        <v>156</v>
      </c>
      <c r="P18" s="14" t="s">
        <v>33</v>
      </c>
      <c r="Q18" s="61">
        <v>12000</v>
      </c>
      <c r="R18" s="14">
        <v>22.4</v>
      </c>
      <c r="S18" s="15">
        <f>+R18*Q18/1000</f>
        <v>268.8</v>
      </c>
      <c r="T18" s="63">
        <f>+S18*O18</f>
        <v>41932.800000000003</v>
      </c>
      <c r="U18" s="2"/>
      <c r="V18" s="62"/>
    </row>
    <row r="19" spans="1:22" x14ac:dyDescent="0.3">
      <c r="A19" s="1"/>
      <c r="B19" s="97">
        <v>9</v>
      </c>
      <c r="C19" s="14" t="s">
        <v>19</v>
      </c>
      <c r="D19" s="14">
        <v>78</v>
      </c>
      <c r="E19" s="14" t="s">
        <v>34</v>
      </c>
      <c r="F19" s="14">
        <v>12150</v>
      </c>
      <c r="G19" s="14">
        <v>14.7</v>
      </c>
      <c r="H19" s="15">
        <f>+G19*F19/1000</f>
        <v>178.60499999999999</v>
      </c>
      <c r="I19" s="19">
        <f>+H19*D19</f>
        <v>13931.189999999999</v>
      </c>
      <c r="J19" s="2"/>
      <c r="L19" s="1"/>
      <c r="M19" s="97">
        <v>10</v>
      </c>
      <c r="N19" s="14" t="s">
        <v>19</v>
      </c>
      <c r="O19" s="14">
        <v>269</v>
      </c>
      <c r="P19" s="14" t="s">
        <v>34</v>
      </c>
      <c r="Q19" s="61">
        <v>6000</v>
      </c>
      <c r="R19" s="14">
        <v>14.7</v>
      </c>
      <c r="S19" s="15">
        <f>+R19*Q19/1000</f>
        <v>88.2</v>
      </c>
      <c r="T19" s="19">
        <f>+S19*O19</f>
        <v>23725.8</v>
      </c>
      <c r="U19" s="2"/>
      <c r="V19" s="62"/>
    </row>
    <row r="20" spans="1:22" x14ac:dyDescent="0.3">
      <c r="A20" s="1"/>
      <c r="B20" s="97">
        <v>10</v>
      </c>
      <c r="C20" s="14"/>
      <c r="D20" s="14"/>
      <c r="E20" s="14"/>
      <c r="F20" s="14"/>
      <c r="G20" s="14"/>
      <c r="H20" s="15"/>
      <c r="I20" s="19"/>
      <c r="J20" s="2"/>
      <c r="L20" s="1"/>
      <c r="M20" s="97">
        <v>11</v>
      </c>
      <c r="N20" s="14"/>
      <c r="O20" s="14"/>
      <c r="P20" s="14"/>
      <c r="Q20" s="14"/>
      <c r="R20" s="14"/>
      <c r="S20" s="15"/>
      <c r="T20" s="19"/>
      <c r="U20" s="2"/>
      <c r="V20" s="62"/>
    </row>
    <row r="21" spans="1:22" x14ac:dyDescent="0.3">
      <c r="A21" s="1"/>
      <c r="B21" s="97">
        <v>11</v>
      </c>
      <c r="C21" s="86" t="s">
        <v>73</v>
      </c>
      <c r="D21" s="14">
        <v>2</v>
      </c>
      <c r="E21" s="14" t="s">
        <v>34</v>
      </c>
      <c r="F21" s="14">
        <v>73500</v>
      </c>
      <c r="G21" s="14">
        <v>14.7</v>
      </c>
      <c r="H21" s="15">
        <f>+G21*F21/1000</f>
        <v>1080.45</v>
      </c>
      <c r="I21" s="19">
        <f>+H21*D21</f>
        <v>2160.9</v>
      </c>
      <c r="J21" s="2"/>
      <c r="L21" s="1"/>
      <c r="M21" s="97">
        <v>12</v>
      </c>
      <c r="N21" s="86" t="s">
        <v>49</v>
      </c>
      <c r="O21" s="14"/>
      <c r="P21" s="14"/>
      <c r="Q21" s="14"/>
      <c r="R21" s="14"/>
      <c r="S21" s="15"/>
      <c r="T21" s="19"/>
      <c r="U21" s="2"/>
      <c r="V21" s="62"/>
    </row>
    <row r="22" spans="1:22" x14ac:dyDescent="0.3">
      <c r="A22" s="1"/>
      <c r="B22" s="97">
        <v>12</v>
      </c>
      <c r="C22" s="90"/>
      <c r="D22" s="14">
        <f>4*2*7</f>
        <v>56</v>
      </c>
      <c r="E22" s="14" t="s">
        <v>34</v>
      </c>
      <c r="F22" s="14">
        <v>1480</v>
      </c>
      <c r="G22" s="14">
        <v>14.7</v>
      </c>
      <c r="H22" s="15">
        <f>+G22*F22/1000</f>
        <v>21.756</v>
      </c>
      <c r="I22" s="19">
        <f>+H22*D22</f>
        <v>1218.336</v>
      </c>
      <c r="J22" s="2"/>
      <c r="L22" s="1"/>
      <c r="M22" s="97">
        <v>13</v>
      </c>
      <c r="N22" s="90"/>
      <c r="O22" s="14"/>
      <c r="P22" s="14"/>
      <c r="Q22" s="14"/>
      <c r="R22" s="14"/>
      <c r="S22" s="15"/>
      <c r="T22" s="19"/>
      <c r="U22" s="2"/>
      <c r="V22" s="62"/>
    </row>
    <row r="23" spans="1:22" x14ac:dyDescent="0.3">
      <c r="A23" s="1"/>
      <c r="B23" s="97">
        <v>13</v>
      </c>
      <c r="C23" s="87"/>
      <c r="D23" s="14">
        <v>72</v>
      </c>
      <c r="E23" s="14" t="s">
        <v>34</v>
      </c>
      <c r="F23" s="14">
        <v>6000</v>
      </c>
      <c r="G23" s="14">
        <v>14.7</v>
      </c>
      <c r="H23" s="15">
        <f>+G23*F23/1000</f>
        <v>88.2</v>
      </c>
      <c r="I23" s="19">
        <f>+H23*D23</f>
        <v>6350.4000000000005</v>
      </c>
      <c r="J23" s="2"/>
      <c r="L23" s="1"/>
      <c r="M23" s="97">
        <v>14</v>
      </c>
      <c r="N23" s="87"/>
      <c r="O23" s="14"/>
      <c r="P23" s="14"/>
      <c r="Q23" s="14"/>
      <c r="R23" s="14"/>
      <c r="S23" s="15"/>
      <c r="T23" s="19"/>
      <c r="U23" s="2"/>
      <c r="V23" s="62"/>
    </row>
    <row r="24" spans="1:22" x14ac:dyDescent="0.3">
      <c r="A24" s="1"/>
      <c r="B24" s="97">
        <v>14</v>
      </c>
      <c r="C24" s="14"/>
      <c r="D24" s="14"/>
      <c r="E24" s="14"/>
      <c r="F24" s="14"/>
      <c r="G24" s="14"/>
      <c r="H24" s="15"/>
      <c r="I24" s="19"/>
      <c r="J24" s="2"/>
      <c r="L24" s="1"/>
      <c r="M24" s="97">
        <v>15</v>
      </c>
      <c r="N24" s="14"/>
      <c r="O24" s="14"/>
      <c r="P24" s="14"/>
      <c r="Q24" s="14"/>
      <c r="R24" s="14"/>
      <c r="S24" s="15"/>
      <c r="T24" s="19"/>
      <c r="U24" s="2"/>
      <c r="V24" s="62"/>
    </row>
    <row r="25" spans="1:22" x14ac:dyDescent="0.3">
      <c r="A25" s="1"/>
      <c r="B25" s="97">
        <v>15</v>
      </c>
      <c r="C25" s="50" t="s">
        <v>14</v>
      </c>
      <c r="D25" s="14">
        <v>84</v>
      </c>
      <c r="E25" s="14" t="s">
        <v>77</v>
      </c>
      <c r="F25" s="14">
        <v>6000</v>
      </c>
      <c r="G25" s="14">
        <v>17.84</v>
      </c>
      <c r="H25" s="15">
        <f t="shared" ref="H25" si="4">+G25*F25/1000</f>
        <v>107.04</v>
      </c>
      <c r="I25" s="19">
        <f t="shared" ref="I25" si="5">+H25*D25</f>
        <v>8991.36</v>
      </c>
      <c r="J25" s="2"/>
      <c r="L25" s="1"/>
      <c r="M25" s="97">
        <v>16</v>
      </c>
      <c r="N25" s="50" t="s">
        <v>14</v>
      </c>
      <c r="O25" s="14">
        <v>84</v>
      </c>
      <c r="P25" s="14" t="s">
        <v>36</v>
      </c>
      <c r="Q25" s="61">
        <v>6000</v>
      </c>
      <c r="R25" s="14">
        <v>17.84</v>
      </c>
      <c r="S25" s="15">
        <f t="shared" ref="S25" si="6">+R25*Q25/1000</f>
        <v>107.04</v>
      </c>
      <c r="T25" s="19">
        <f t="shared" ref="T25" si="7">+S25*O25</f>
        <v>8991.36</v>
      </c>
      <c r="U25" s="2"/>
      <c r="V25" s="62"/>
    </row>
    <row r="26" spans="1:22" x14ac:dyDescent="0.3">
      <c r="A26" s="1"/>
      <c r="B26" s="97">
        <v>16</v>
      </c>
      <c r="C26" s="14"/>
      <c r="D26" s="14"/>
      <c r="E26" s="14"/>
      <c r="F26" s="14"/>
      <c r="G26" s="14"/>
      <c r="H26" s="15"/>
      <c r="I26" s="19"/>
      <c r="J26" s="2"/>
      <c r="L26" s="1"/>
      <c r="M26" s="97">
        <v>17</v>
      </c>
      <c r="N26" s="14"/>
      <c r="O26" s="14"/>
      <c r="P26" s="14"/>
      <c r="Q26" s="14"/>
      <c r="R26" s="14"/>
      <c r="S26" s="15"/>
      <c r="T26" s="19"/>
      <c r="U26" s="2"/>
      <c r="V26" s="62"/>
    </row>
    <row r="27" spans="1:22" x14ac:dyDescent="0.3">
      <c r="A27" s="1"/>
      <c r="B27" s="97">
        <v>17</v>
      </c>
      <c r="C27" s="86" t="s">
        <v>15</v>
      </c>
      <c r="D27" s="14">
        <v>360</v>
      </c>
      <c r="E27" s="14" t="s">
        <v>23</v>
      </c>
      <c r="F27" s="14">
        <v>12000</v>
      </c>
      <c r="G27" s="14">
        <v>12.9</v>
      </c>
      <c r="H27" s="15">
        <f t="shared" ref="H27" si="8">+G27*F27/1000</f>
        <v>154.80000000000001</v>
      </c>
      <c r="I27" s="19">
        <f t="shared" ref="I27" si="9">+H27*D27</f>
        <v>55728.000000000007</v>
      </c>
      <c r="J27" s="2"/>
      <c r="L27" s="1"/>
      <c r="M27" s="97">
        <v>18</v>
      </c>
      <c r="N27" s="86" t="s">
        <v>15</v>
      </c>
      <c r="O27" s="14">
        <v>360</v>
      </c>
      <c r="P27" s="14" t="s">
        <v>23</v>
      </c>
      <c r="Q27" s="61">
        <v>12000</v>
      </c>
      <c r="R27" s="14">
        <v>12.9</v>
      </c>
      <c r="S27" s="15">
        <f t="shared" ref="S27" si="10">+R27*Q27/1000</f>
        <v>154.80000000000001</v>
      </c>
      <c r="T27" s="19">
        <f t="shared" ref="T27" si="11">+S27*O27</f>
        <v>55728.000000000007</v>
      </c>
      <c r="U27" s="2"/>
      <c r="V27" s="62"/>
    </row>
    <row r="28" spans="1:22" x14ac:dyDescent="0.3">
      <c r="A28" s="1"/>
      <c r="B28" s="97">
        <v>18</v>
      </c>
      <c r="C28" s="87"/>
      <c r="D28" s="14">
        <v>36</v>
      </c>
      <c r="E28" s="14" t="s">
        <v>35</v>
      </c>
      <c r="F28" s="14">
        <v>12000</v>
      </c>
      <c r="G28" s="14">
        <v>8.1</v>
      </c>
      <c r="H28" s="15">
        <f t="shared" ref="H28" si="12">+G28*F28/1000</f>
        <v>97.2</v>
      </c>
      <c r="I28" s="19">
        <f t="shared" ref="I28" si="13">+H28*D28</f>
        <v>3499.2000000000003</v>
      </c>
      <c r="J28" s="2"/>
      <c r="L28" s="1"/>
      <c r="M28" s="97">
        <v>19</v>
      </c>
      <c r="N28" s="87"/>
      <c r="O28" s="14"/>
      <c r="P28" s="14"/>
      <c r="Q28" s="14"/>
      <c r="R28" s="14"/>
      <c r="S28" s="15"/>
      <c r="T28" s="19"/>
      <c r="U28" s="2"/>
      <c r="V28" s="62"/>
    </row>
    <row r="29" spans="1:22" x14ac:dyDescent="0.3">
      <c r="A29" s="1"/>
      <c r="B29" s="97">
        <v>19</v>
      </c>
      <c r="C29" s="26" t="s">
        <v>79</v>
      </c>
      <c r="D29" s="14">
        <v>72</v>
      </c>
      <c r="E29" s="14" t="s">
        <v>35</v>
      </c>
      <c r="F29" s="14">
        <v>6000</v>
      </c>
      <c r="G29" s="14">
        <v>8.1</v>
      </c>
      <c r="H29" s="15">
        <f t="shared" ref="H29" si="14">+G29*F29/1000</f>
        <v>48.6</v>
      </c>
      <c r="I29" s="19">
        <f t="shared" ref="I29" si="15">+H29*D29</f>
        <v>3499.2000000000003</v>
      </c>
      <c r="J29" s="2"/>
      <c r="L29" s="1"/>
      <c r="M29" s="97">
        <v>20</v>
      </c>
      <c r="N29" s="26"/>
      <c r="O29" s="14"/>
      <c r="P29" s="14"/>
      <c r="Q29" s="14"/>
      <c r="R29" s="14"/>
      <c r="S29" s="15"/>
      <c r="T29" s="19"/>
      <c r="U29" s="2"/>
      <c r="V29" s="62"/>
    </row>
    <row r="30" spans="1:22" x14ac:dyDescent="0.3">
      <c r="A30" s="1"/>
      <c r="B30" s="97">
        <v>20</v>
      </c>
      <c r="C30" s="14"/>
      <c r="D30" s="14"/>
      <c r="E30" s="14"/>
      <c r="F30" s="14"/>
      <c r="G30" s="14"/>
      <c r="H30" s="15"/>
      <c r="I30" s="19"/>
      <c r="J30" s="2"/>
      <c r="L30" s="1"/>
      <c r="M30" s="97">
        <v>21</v>
      </c>
      <c r="N30" s="14"/>
      <c r="O30" s="14"/>
      <c r="P30" s="14"/>
      <c r="Q30" s="14"/>
      <c r="R30" s="14"/>
      <c r="S30" s="15"/>
      <c r="T30" s="19"/>
      <c r="U30" s="2"/>
      <c r="V30" s="62"/>
    </row>
    <row r="31" spans="1:22" x14ac:dyDescent="0.3">
      <c r="A31" s="1"/>
      <c r="B31" s="97">
        <v>21</v>
      </c>
      <c r="C31" s="86" t="s">
        <v>20</v>
      </c>
      <c r="D31" s="14">
        <v>32</v>
      </c>
      <c r="E31" s="86" t="s">
        <v>37</v>
      </c>
      <c r="F31" s="14">
        <v>3225</v>
      </c>
      <c r="G31" s="14">
        <v>5.33</v>
      </c>
      <c r="H31" s="15">
        <f t="shared" ref="H31" si="16">+G31*F31/1000</f>
        <v>17.189250000000001</v>
      </c>
      <c r="I31" s="19">
        <f t="shared" ref="I31" si="17">+H31*D31</f>
        <v>550.05600000000004</v>
      </c>
      <c r="J31" s="2"/>
      <c r="L31" s="1"/>
      <c r="M31" s="97">
        <v>22</v>
      </c>
      <c r="N31" s="86" t="s">
        <v>20</v>
      </c>
      <c r="O31" s="14">
        <v>134</v>
      </c>
      <c r="P31" s="14" t="s">
        <v>37</v>
      </c>
      <c r="Q31" s="61">
        <v>12000</v>
      </c>
      <c r="R31" s="14">
        <v>5.33</v>
      </c>
      <c r="S31" s="15">
        <f t="shared" ref="S31" si="18">+R31*Q31/1000</f>
        <v>63.96</v>
      </c>
      <c r="T31" s="63">
        <f t="shared" ref="T31" si="19">+S31*O31</f>
        <v>8570.64</v>
      </c>
      <c r="U31" s="2"/>
      <c r="V31" s="62"/>
    </row>
    <row r="32" spans="1:22" x14ac:dyDescent="0.3">
      <c r="A32" s="1"/>
      <c r="B32" s="97">
        <v>22</v>
      </c>
      <c r="C32" s="90"/>
      <c r="D32" s="14">
        <v>92</v>
      </c>
      <c r="E32" s="90"/>
      <c r="F32" s="14">
        <v>6240</v>
      </c>
      <c r="G32" s="14">
        <v>5.33</v>
      </c>
      <c r="H32" s="15">
        <f t="shared" ref="H32" si="20">+G32*F32/1000</f>
        <v>33.2592</v>
      </c>
      <c r="I32" s="19">
        <f t="shared" ref="I32" si="21">+H32*D32</f>
        <v>3059.8463999999999</v>
      </c>
      <c r="J32" s="2"/>
      <c r="L32" s="1"/>
      <c r="M32" s="97">
        <v>23</v>
      </c>
      <c r="N32" s="90"/>
      <c r="O32" s="14"/>
      <c r="P32" s="14"/>
      <c r="Q32" s="14"/>
      <c r="R32" s="14"/>
      <c r="S32" s="15"/>
      <c r="T32" s="19"/>
      <c r="U32" s="2"/>
      <c r="V32" s="62"/>
    </row>
    <row r="33" spans="1:22" x14ac:dyDescent="0.3">
      <c r="A33" s="1"/>
      <c r="B33" s="97">
        <v>23</v>
      </c>
      <c r="C33" s="90"/>
      <c r="D33" s="14">
        <v>184</v>
      </c>
      <c r="E33" s="87"/>
      <c r="F33" s="14">
        <v>3120</v>
      </c>
      <c r="G33" s="14">
        <v>5.33</v>
      </c>
      <c r="H33" s="15">
        <f t="shared" ref="H33" si="22">+G33*F33/1000</f>
        <v>16.6296</v>
      </c>
      <c r="I33" s="19">
        <f t="shared" ref="I33" si="23">+H33*D33</f>
        <v>3059.8463999999999</v>
      </c>
      <c r="J33" s="2"/>
      <c r="L33" s="1"/>
      <c r="M33" s="97">
        <v>24</v>
      </c>
      <c r="N33" s="90"/>
      <c r="O33" s="14"/>
      <c r="P33" s="26"/>
      <c r="Q33" s="14"/>
      <c r="R33" s="14"/>
      <c r="S33" s="15"/>
      <c r="T33" s="19"/>
      <c r="U33" s="2"/>
      <c r="V33" s="62"/>
    </row>
    <row r="34" spans="1:22" x14ac:dyDescent="0.3">
      <c r="A34" s="1"/>
      <c r="B34" s="97">
        <v>24</v>
      </c>
      <c r="C34" s="14"/>
      <c r="D34" s="14"/>
      <c r="E34" s="14"/>
      <c r="F34" s="14"/>
      <c r="G34" s="14"/>
      <c r="H34" s="15"/>
      <c r="I34" s="19"/>
      <c r="J34" s="2"/>
      <c r="L34" s="1"/>
      <c r="M34" s="97">
        <v>25</v>
      </c>
      <c r="N34" s="14"/>
      <c r="O34" s="14"/>
      <c r="P34" s="14"/>
      <c r="Q34" s="14"/>
      <c r="R34" s="14"/>
      <c r="S34" s="15"/>
      <c r="T34" s="19"/>
      <c r="U34" s="2"/>
    </row>
    <row r="35" spans="1:22" x14ac:dyDescent="0.3">
      <c r="A35" s="1"/>
      <c r="B35" s="97">
        <v>25</v>
      </c>
      <c r="C35" s="14" t="s">
        <v>78</v>
      </c>
      <c r="D35" s="14">
        <v>84</v>
      </c>
      <c r="E35" s="57" t="s">
        <v>50</v>
      </c>
      <c r="F35" s="14">
        <v>6000</v>
      </c>
      <c r="G35" s="14">
        <v>8.6999999999999993</v>
      </c>
      <c r="H35" s="15">
        <f t="shared" ref="H35" si="24">+G35*F35/1000</f>
        <v>52.199999999999996</v>
      </c>
      <c r="I35" s="19">
        <f t="shared" ref="I35" si="25">+H35*D35</f>
        <v>4384.7999999999993</v>
      </c>
      <c r="J35" s="2"/>
      <c r="L35" s="1"/>
      <c r="M35" s="97">
        <v>26</v>
      </c>
      <c r="N35" s="14" t="s">
        <v>21</v>
      </c>
      <c r="O35" s="14">
        <v>84</v>
      </c>
      <c r="P35" s="57" t="s">
        <v>50</v>
      </c>
      <c r="Q35" s="61">
        <v>6000</v>
      </c>
      <c r="R35" s="14">
        <v>8.6999999999999993</v>
      </c>
      <c r="S35" s="15">
        <f t="shared" ref="S35" si="26">+R35*Q35/1000</f>
        <v>52.199999999999996</v>
      </c>
      <c r="T35" s="19">
        <f t="shared" ref="T35" si="27">+S35*O35</f>
        <v>4384.7999999999993</v>
      </c>
      <c r="U35" s="2"/>
      <c r="V35" s="62"/>
    </row>
    <row r="36" spans="1:22" x14ac:dyDescent="0.3">
      <c r="A36" s="1"/>
      <c r="B36" s="97">
        <v>26</v>
      </c>
      <c r="C36" s="14"/>
      <c r="D36" s="14"/>
      <c r="E36" s="57"/>
      <c r="F36" s="14"/>
      <c r="G36" s="14"/>
      <c r="H36" s="15"/>
      <c r="I36" s="19"/>
      <c r="J36" s="2"/>
      <c r="L36" s="1"/>
      <c r="M36" s="97">
        <v>27</v>
      </c>
      <c r="N36" s="14"/>
      <c r="O36" s="14"/>
      <c r="P36" s="57"/>
      <c r="Q36" s="14"/>
      <c r="R36" s="14"/>
      <c r="S36" s="15"/>
      <c r="T36" s="19"/>
      <c r="U36" s="2"/>
      <c r="V36" s="62"/>
    </row>
    <row r="37" spans="1:22" x14ac:dyDescent="0.3">
      <c r="A37" s="1"/>
      <c r="B37" s="97">
        <v>27</v>
      </c>
      <c r="C37" s="14" t="s">
        <v>42</v>
      </c>
      <c r="D37" s="14">
        <v>65</v>
      </c>
      <c r="E37" s="57" t="s">
        <v>35</v>
      </c>
      <c r="F37" s="14">
        <v>100</v>
      </c>
      <c r="G37" s="14">
        <v>8.1</v>
      </c>
      <c r="H37" s="15">
        <f t="shared" ref="H37" si="28">+G37*F37/1000</f>
        <v>0.81</v>
      </c>
      <c r="I37" s="19">
        <f t="shared" ref="I37" si="29">+H37*D37</f>
        <v>52.650000000000006</v>
      </c>
      <c r="J37" s="2"/>
      <c r="L37" s="1"/>
      <c r="M37" s="97">
        <v>28</v>
      </c>
      <c r="N37" s="14" t="s">
        <v>42</v>
      </c>
      <c r="O37" s="14"/>
      <c r="P37" s="57" t="s">
        <v>35</v>
      </c>
      <c r="Q37" s="14">
        <v>100</v>
      </c>
      <c r="R37" s="14">
        <v>8.1</v>
      </c>
      <c r="S37" s="15">
        <f t="shared" ref="S37" si="30">+R37*Q37/1000</f>
        <v>0.81</v>
      </c>
      <c r="T37" s="19">
        <f t="shared" ref="T37" si="31">+S37*O37</f>
        <v>0</v>
      </c>
      <c r="U37" s="2"/>
      <c r="V37" s="62"/>
    </row>
    <row r="38" spans="1:22" x14ac:dyDescent="0.3">
      <c r="A38" s="1"/>
      <c r="B38" s="97">
        <v>28</v>
      </c>
      <c r="C38" s="14"/>
      <c r="D38" s="14"/>
      <c r="E38" s="57"/>
      <c r="F38" s="14"/>
      <c r="G38" s="14"/>
      <c r="H38" s="15"/>
      <c r="I38" s="19"/>
      <c r="J38" s="2"/>
      <c r="L38" s="1"/>
      <c r="M38" s="97">
        <v>29</v>
      </c>
      <c r="N38" s="14"/>
      <c r="O38" s="14"/>
      <c r="P38" s="57"/>
      <c r="Q38" s="14"/>
      <c r="R38" s="14"/>
      <c r="S38" s="15"/>
      <c r="T38" s="19"/>
      <c r="U38" s="2"/>
    </row>
    <row r="39" spans="1:22" x14ac:dyDescent="0.3">
      <c r="A39" s="1"/>
      <c r="B39" s="97">
        <v>29</v>
      </c>
      <c r="C39" s="86" t="s">
        <v>12</v>
      </c>
      <c r="D39" s="14">
        <v>130</v>
      </c>
      <c r="E39" s="14" t="s">
        <v>43</v>
      </c>
      <c r="F39" s="14">
        <v>480</v>
      </c>
      <c r="G39" s="14">
        <v>1.59</v>
      </c>
      <c r="H39" s="15">
        <f t="shared" ref="H39:H40" si="32">+G39*F39/1000</f>
        <v>0.7632000000000001</v>
      </c>
      <c r="I39" s="19">
        <f>+H39*D39</f>
        <v>99.216000000000008</v>
      </c>
      <c r="J39" s="2"/>
      <c r="L39" s="1"/>
      <c r="M39" s="97">
        <v>30</v>
      </c>
      <c r="N39" s="86" t="s">
        <v>12</v>
      </c>
      <c r="O39" s="14">
        <v>130</v>
      </c>
      <c r="P39" s="14" t="s">
        <v>43</v>
      </c>
      <c r="Q39" s="14">
        <v>480</v>
      </c>
      <c r="R39" s="14">
        <v>1.59</v>
      </c>
      <c r="S39" s="15">
        <f t="shared" ref="S39:S40" si="33">+R39*Q39/1000</f>
        <v>0.7632000000000001</v>
      </c>
      <c r="T39" s="19">
        <f>+S39*O39</f>
        <v>99.216000000000008</v>
      </c>
      <c r="U39" s="2"/>
      <c r="V39" s="62"/>
    </row>
    <row r="40" spans="1:22" x14ac:dyDescent="0.3">
      <c r="A40" s="1"/>
      <c r="B40" s="97">
        <v>30</v>
      </c>
      <c r="C40" s="87"/>
      <c r="D40" s="14">
        <v>156</v>
      </c>
      <c r="E40" s="14" t="s">
        <v>44</v>
      </c>
      <c r="F40" s="14">
        <v>410</v>
      </c>
      <c r="G40" s="14">
        <v>2.48</v>
      </c>
      <c r="H40" s="15">
        <f t="shared" si="32"/>
        <v>1.0167999999999999</v>
      </c>
      <c r="I40" s="19">
        <f>+H40*D40</f>
        <v>158.62079999999997</v>
      </c>
      <c r="J40" s="2"/>
      <c r="L40" s="1"/>
      <c r="M40" s="97">
        <v>31</v>
      </c>
      <c r="N40" s="87"/>
      <c r="O40" s="14">
        <v>156</v>
      </c>
      <c r="P40" s="14" t="s">
        <v>44</v>
      </c>
      <c r="Q40" s="14">
        <v>410</v>
      </c>
      <c r="R40" s="14">
        <v>2.48</v>
      </c>
      <c r="S40" s="15">
        <f t="shared" si="33"/>
        <v>1.0167999999999999</v>
      </c>
      <c r="T40" s="19">
        <f>+S40*O40</f>
        <v>158.62079999999997</v>
      </c>
      <c r="U40" s="2"/>
      <c r="V40" s="62"/>
    </row>
    <row r="41" spans="1:22" x14ac:dyDescent="0.3">
      <c r="A41" s="1"/>
      <c r="B41" s="97">
        <v>31</v>
      </c>
      <c r="C41" s="26" t="s">
        <v>46</v>
      </c>
      <c r="D41" s="14">
        <v>286</v>
      </c>
      <c r="E41" s="50" t="s">
        <v>45</v>
      </c>
      <c r="F41" s="21" t="s">
        <v>2</v>
      </c>
      <c r="G41" s="21" t="s">
        <v>2</v>
      </c>
      <c r="H41" s="15">
        <f>0.06*0.06*8*10</f>
        <v>0.28799999999999998</v>
      </c>
      <c r="I41" s="19">
        <f>+H41*D41</f>
        <v>82.367999999999995</v>
      </c>
      <c r="J41" s="2"/>
      <c r="L41" s="1"/>
      <c r="M41" s="97">
        <v>32</v>
      </c>
      <c r="N41" s="26" t="s">
        <v>46</v>
      </c>
      <c r="O41" s="14">
        <v>4</v>
      </c>
      <c r="P41" s="50" t="s">
        <v>22</v>
      </c>
      <c r="Q41" s="21" t="s">
        <v>2</v>
      </c>
      <c r="R41" s="21" t="s">
        <v>2</v>
      </c>
      <c r="S41" s="15">
        <f>2*1*8*10</f>
        <v>160</v>
      </c>
      <c r="T41" s="19">
        <f>+S41*O41</f>
        <v>640</v>
      </c>
      <c r="U41" s="2"/>
      <c r="V41" s="62"/>
    </row>
    <row r="42" spans="1:22" x14ac:dyDescent="0.3">
      <c r="A42" s="1"/>
      <c r="B42" s="97">
        <v>32</v>
      </c>
      <c r="C42" s="86" t="s">
        <v>47</v>
      </c>
      <c r="D42" s="14">
        <v>26</v>
      </c>
      <c r="E42" s="57" t="s">
        <v>48</v>
      </c>
      <c r="F42" s="21" t="s">
        <v>2</v>
      </c>
      <c r="G42" s="21" t="s">
        <v>2</v>
      </c>
      <c r="H42" s="15">
        <f>0.29*0.23*8*8</f>
        <v>4.2687999999999997</v>
      </c>
      <c r="I42" s="19">
        <f>+H42*D42</f>
        <v>110.9888</v>
      </c>
      <c r="J42" s="2"/>
      <c r="L42" s="1"/>
      <c r="M42" s="97">
        <v>33</v>
      </c>
      <c r="N42" s="86" t="s">
        <v>47</v>
      </c>
      <c r="O42" s="14">
        <v>8</v>
      </c>
      <c r="P42" s="57" t="s">
        <v>25</v>
      </c>
      <c r="Q42" s="21" t="s">
        <v>2</v>
      </c>
      <c r="R42" s="21" t="s">
        <v>2</v>
      </c>
      <c r="S42" s="15">
        <f>2*1*8*8</f>
        <v>128</v>
      </c>
      <c r="T42" s="19">
        <f>+S42*O42</f>
        <v>1024</v>
      </c>
      <c r="U42" s="2"/>
      <c r="V42" s="62"/>
    </row>
    <row r="43" spans="1:22" x14ac:dyDescent="0.3">
      <c r="A43" s="1"/>
      <c r="B43" s="97">
        <v>33</v>
      </c>
      <c r="C43" s="87"/>
      <c r="D43" s="14">
        <v>65</v>
      </c>
      <c r="E43" s="50" t="s">
        <v>27</v>
      </c>
      <c r="F43" s="21" t="s">
        <v>2</v>
      </c>
      <c r="G43" s="21" t="s">
        <v>2</v>
      </c>
      <c r="H43" s="15">
        <f>0.2*0.2*8*8</f>
        <v>2.5600000000000005</v>
      </c>
      <c r="I43" s="19">
        <f>+H43*D43</f>
        <v>166.40000000000003</v>
      </c>
      <c r="J43" s="2"/>
      <c r="L43" s="1"/>
      <c r="M43" s="97">
        <v>34</v>
      </c>
      <c r="N43" s="87"/>
      <c r="O43" s="14"/>
      <c r="P43" s="50"/>
      <c r="Q43" s="21"/>
      <c r="R43" s="21"/>
      <c r="S43" s="15"/>
      <c r="T43" s="19"/>
      <c r="U43" s="2"/>
      <c r="V43" s="62"/>
    </row>
    <row r="44" spans="1:22" x14ac:dyDescent="0.3">
      <c r="A44" s="1"/>
      <c r="B44" s="97">
        <v>34</v>
      </c>
      <c r="C44" s="14"/>
      <c r="D44" s="14"/>
      <c r="E44" s="57"/>
      <c r="F44" s="14"/>
      <c r="G44" s="14"/>
      <c r="H44" s="15"/>
      <c r="I44" s="19"/>
      <c r="J44" s="2"/>
      <c r="L44" s="1"/>
      <c r="M44" s="97">
        <v>35</v>
      </c>
      <c r="N44" s="14"/>
      <c r="O44" s="14"/>
      <c r="P44" s="57"/>
      <c r="Q44" s="14"/>
      <c r="R44" s="14"/>
      <c r="S44" s="15"/>
      <c r="T44" s="19"/>
      <c r="U44" s="2"/>
      <c r="V44" s="62"/>
    </row>
    <row r="45" spans="1:22" x14ac:dyDescent="0.3">
      <c r="A45" s="1"/>
      <c r="B45" s="97">
        <v>35</v>
      </c>
      <c r="C45" s="14" t="s">
        <v>38</v>
      </c>
      <c r="D45" s="14">
        <v>26</v>
      </c>
      <c r="E45" s="57" t="s">
        <v>39</v>
      </c>
      <c r="F45" s="21" t="s">
        <v>2</v>
      </c>
      <c r="G45" s="21" t="s">
        <v>2</v>
      </c>
      <c r="H45" s="15">
        <f>0.29*0.23*8*25</f>
        <v>13.34</v>
      </c>
      <c r="I45" s="19">
        <f t="shared" ref="I45:I56" si="34">+H45*D45</f>
        <v>346.84</v>
      </c>
      <c r="J45" s="2"/>
      <c r="L45" s="1"/>
      <c r="M45" s="97">
        <v>36</v>
      </c>
      <c r="N45" s="14" t="s">
        <v>38</v>
      </c>
      <c r="O45" s="14">
        <v>2</v>
      </c>
      <c r="P45" s="57" t="s">
        <v>28</v>
      </c>
      <c r="Q45" s="21" t="s">
        <v>2</v>
      </c>
      <c r="R45" s="21" t="s">
        <v>2</v>
      </c>
      <c r="S45" s="15">
        <f>2*1*8*25</f>
        <v>400</v>
      </c>
      <c r="T45" s="19">
        <f t="shared" ref="T45:T56" si="35">+S45*O45</f>
        <v>800</v>
      </c>
      <c r="U45" s="2"/>
      <c r="V45" s="62"/>
    </row>
    <row r="46" spans="1:22" x14ac:dyDescent="0.3">
      <c r="A46" s="1"/>
      <c r="B46" s="97">
        <v>36</v>
      </c>
      <c r="C46" s="14" t="s">
        <v>40</v>
      </c>
      <c r="D46" s="14">
        <v>65</v>
      </c>
      <c r="E46" s="57" t="s">
        <v>41</v>
      </c>
      <c r="F46" s="21" t="s">
        <v>2</v>
      </c>
      <c r="G46" s="21" t="s">
        <v>2</v>
      </c>
      <c r="H46" s="15">
        <f>0.2*0.2*8*15</f>
        <v>4.8000000000000007</v>
      </c>
      <c r="I46" s="19">
        <f t="shared" si="34"/>
        <v>312.00000000000006</v>
      </c>
      <c r="J46" s="2"/>
      <c r="L46" s="1"/>
      <c r="M46" s="97">
        <v>37</v>
      </c>
      <c r="N46" s="14" t="s">
        <v>40</v>
      </c>
      <c r="O46" s="14">
        <v>5</v>
      </c>
      <c r="P46" s="57" t="s">
        <v>24</v>
      </c>
      <c r="Q46" s="21" t="s">
        <v>2</v>
      </c>
      <c r="R46" s="21" t="s">
        <v>2</v>
      </c>
      <c r="S46" s="15">
        <f>2*1*8*15</f>
        <v>240</v>
      </c>
      <c r="T46" s="19">
        <f t="shared" si="35"/>
        <v>1200</v>
      </c>
      <c r="U46" s="2"/>
      <c r="V46" s="62"/>
    </row>
    <row r="47" spans="1:22" x14ac:dyDescent="0.3">
      <c r="A47" s="1"/>
      <c r="B47" s="97">
        <v>37</v>
      </c>
      <c r="C47" s="50" t="s">
        <v>56</v>
      </c>
      <c r="D47" s="14">
        <v>104</v>
      </c>
      <c r="E47" s="57" t="s">
        <v>59</v>
      </c>
      <c r="F47" s="21" t="s">
        <v>2</v>
      </c>
      <c r="G47" s="21" t="s">
        <v>2</v>
      </c>
      <c r="H47" s="15">
        <f>0.164*0.085*8*8</f>
        <v>0.89216000000000006</v>
      </c>
      <c r="I47" s="19">
        <f t="shared" si="34"/>
        <v>92.78464000000001</v>
      </c>
      <c r="J47" s="2"/>
      <c r="L47" s="1"/>
      <c r="M47" s="97">
        <v>38</v>
      </c>
      <c r="N47" s="50" t="s">
        <v>56</v>
      </c>
      <c r="O47" s="14"/>
      <c r="P47" s="57"/>
      <c r="Q47" s="21"/>
      <c r="R47" s="21"/>
      <c r="S47" s="15"/>
      <c r="T47" s="19"/>
      <c r="U47" s="2"/>
      <c r="V47" s="62"/>
    </row>
    <row r="48" spans="1:22" x14ac:dyDescent="0.3">
      <c r="A48" s="1"/>
      <c r="B48" s="97">
        <v>38</v>
      </c>
      <c r="C48" s="50" t="s">
        <v>57</v>
      </c>
      <c r="D48" s="14">
        <v>260</v>
      </c>
      <c r="E48" s="57" t="s">
        <v>58</v>
      </c>
      <c r="F48" s="21" t="s">
        <v>2</v>
      </c>
      <c r="G48" s="21" t="s">
        <v>2</v>
      </c>
      <c r="H48" s="15">
        <f>0.145*0.08*8*8</f>
        <v>0.74239999999999995</v>
      </c>
      <c r="I48" s="19">
        <f t="shared" si="34"/>
        <v>193.024</v>
      </c>
      <c r="J48" s="2"/>
      <c r="L48" s="1"/>
      <c r="M48" s="97">
        <v>39</v>
      </c>
      <c r="N48" s="50" t="s">
        <v>57</v>
      </c>
      <c r="O48" s="14"/>
      <c r="P48" s="57"/>
      <c r="Q48" s="21"/>
      <c r="R48" s="21"/>
      <c r="S48" s="15"/>
      <c r="T48" s="19"/>
      <c r="U48" s="2"/>
      <c r="V48" s="62"/>
    </row>
    <row r="49" spans="1:22" x14ac:dyDescent="0.3">
      <c r="A49" s="1"/>
      <c r="B49" s="97">
        <v>39</v>
      </c>
      <c r="C49" s="86" t="s">
        <v>55</v>
      </c>
      <c r="D49" s="14">
        <v>52</v>
      </c>
      <c r="E49" s="57" t="s">
        <v>51</v>
      </c>
      <c r="F49" s="21" t="s">
        <v>2</v>
      </c>
      <c r="G49" s="21" t="s">
        <v>2</v>
      </c>
      <c r="H49" s="15">
        <f>0.29*0.1*8*10</f>
        <v>2.3199999999999998</v>
      </c>
      <c r="I49" s="19">
        <f t="shared" si="34"/>
        <v>120.63999999999999</v>
      </c>
      <c r="J49" s="2"/>
      <c r="L49" s="1"/>
      <c r="M49" s="97">
        <v>40</v>
      </c>
      <c r="N49" s="86" t="s">
        <v>55</v>
      </c>
      <c r="O49" s="14"/>
      <c r="P49" s="57"/>
      <c r="Q49" s="21"/>
      <c r="R49" s="21"/>
      <c r="S49" s="15"/>
      <c r="T49" s="19"/>
      <c r="U49" s="2"/>
      <c r="V49" s="62"/>
    </row>
    <row r="50" spans="1:22" x14ac:dyDescent="0.3">
      <c r="A50" s="1"/>
      <c r="B50" s="97">
        <v>40</v>
      </c>
      <c r="C50" s="87"/>
      <c r="D50" s="14">
        <v>104</v>
      </c>
      <c r="E50" s="57" t="s">
        <v>52</v>
      </c>
      <c r="F50" s="21" t="s">
        <v>2</v>
      </c>
      <c r="G50" s="21" t="s">
        <v>2</v>
      </c>
      <c r="H50" s="15">
        <f>0.06*0.1*8*10</f>
        <v>0.48</v>
      </c>
      <c r="I50" s="19">
        <f t="shared" si="34"/>
        <v>49.92</v>
      </c>
      <c r="J50" s="2"/>
      <c r="L50" s="1"/>
      <c r="M50" s="97">
        <v>41</v>
      </c>
      <c r="N50" s="87"/>
      <c r="O50" s="14"/>
      <c r="P50" s="57"/>
      <c r="Q50" s="21"/>
      <c r="R50" s="21"/>
      <c r="S50" s="15"/>
      <c r="T50" s="19"/>
      <c r="U50" s="2"/>
      <c r="V50" s="62"/>
    </row>
    <row r="51" spans="1:22" x14ac:dyDescent="0.3">
      <c r="A51" s="1"/>
      <c r="B51" s="97">
        <v>41</v>
      </c>
      <c r="C51" s="56" t="s">
        <v>80</v>
      </c>
      <c r="D51" s="56">
        <v>312</v>
      </c>
      <c r="E51" s="58" t="s">
        <v>53</v>
      </c>
      <c r="F51" s="21" t="s">
        <v>2</v>
      </c>
      <c r="G51" s="21" t="s">
        <v>2</v>
      </c>
      <c r="H51" s="15">
        <f>0.203*0.1*8*15</f>
        <v>2.4360000000000004</v>
      </c>
      <c r="I51" s="19">
        <f t="shared" si="34"/>
        <v>760.03200000000015</v>
      </c>
      <c r="J51" s="2"/>
      <c r="L51" s="1"/>
      <c r="M51" s="97">
        <v>42</v>
      </c>
      <c r="N51" s="56" t="s">
        <v>71</v>
      </c>
      <c r="O51" s="56"/>
      <c r="P51" s="58"/>
      <c r="Q51" s="21"/>
      <c r="R51" s="21"/>
      <c r="S51" s="15"/>
      <c r="T51" s="19"/>
      <c r="U51" s="2"/>
      <c r="V51" s="62"/>
    </row>
    <row r="52" spans="1:22" x14ac:dyDescent="0.3">
      <c r="A52" s="1"/>
      <c r="B52" s="97">
        <v>42</v>
      </c>
      <c r="C52" s="14" t="s">
        <v>62</v>
      </c>
      <c r="D52" s="14">
        <v>26</v>
      </c>
      <c r="E52" s="57" t="s">
        <v>54</v>
      </c>
      <c r="F52" s="21" t="s">
        <v>2</v>
      </c>
      <c r="G52" s="21" t="s">
        <v>2</v>
      </c>
      <c r="H52" s="15">
        <f>0.18*0.091*8*8</f>
        <v>1.0483199999999999</v>
      </c>
      <c r="I52" s="19">
        <f t="shared" si="34"/>
        <v>27.256319999999999</v>
      </c>
      <c r="J52" s="2"/>
      <c r="L52" s="1"/>
      <c r="M52" s="97">
        <v>43</v>
      </c>
      <c r="N52" s="14" t="s">
        <v>62</v>
      </c>
      <c r="O52" s="14"/>
      <c r="P52" s="57"/>
      <c r="Q52" s="21"/>
      <c r="R52" s="21"/>
      <c r="S52" s="15"/>
      <c r="T52" s="19"/>
      <c r="U52" s="2"/>
      <c r="V52" s="62"/>
    </row>
    <row r="53" spans="1:22" x14ac:dyDescent="0.3">
      <c r="A53" s="1"/>
      <c r="B53" s="97">
        <v>43</v>
      </c>
      <c r="C53" s="14" t="s">
        <v>63</v>
      </c>
      <c r="D53" s="14">
        <v>65</v>
      </c>
      <c r="E53" s="57" t="s">
        <v>64</v>
      </c>
      <c r="F53" s="21" t="s">
        <v>2</v>
      </c>
      <c r="G53" s="21" t="s">
        <v>2</v>
      </c>
      <c r="H53" s="15">
        <f>0.16*0.082*8*8</f>
        <v>0.83968000000000009</v>
      </c>
      <c r="I53" s="19">
        <f t="shared" si="34"/>
        <v>54.579200000000007</v>
      </c>
      <c r="J53" s="2"/>
      <c r="L53" s="1"/>
      <c r="M53" s="97">
        <v>44</v>
      </c>
      <c r="N53" s="14" t="s">
        <v>63</v>
      </c>
      <c r="O53" s="14"/>
      <c r="P53" s="57"/>
      <c r="Q53" s="21"/>
      <c r="R53" s="21"/>
      <c r="S53" s="15"/>
      <c r="T53" s="19"/>
      <c r="U53" s="2"/>
      <c r="V53" s="62"/>
    </row>
    <row r="54" spans="1:22" x14ac:dyDescent="0.3">
      <c r="A54" s="1"/>
      <c r="B54" s="97">
        <v>44</v>
      </c>
      <c r="C54" s="26" t="s">
        <v>65</v>
      </c>
      <c r="D54" s="14">
        <v>164</v>
      </c>
      <c r="E54" s="57" t="s">
        <v>66</v>
      </c>
      <c r="F54" s="21" t="s">
        <v>2</v>
      </c>
      <c r="G54" s="21" t="s">
        <v>2</v>
      </c>
      <c r="H54" s="15">
        <f>0.131*0.17*8*10</f>
        <v>1.7816000000000001</v>
      </c>
      <c r="I54" s="19">
        <f t="shared" si="34"/>
        <v>292.18240000000003</v>
      </c>
      <c r="J54" s="2"/>
      <c r="L54" s="1"/>
      <c r="M54" s="97">
        <v>45</v>
      </c>
      <c r="N54" s="26" t="s">
        <v>65</v>
      </c>
      <c r="O54" s="14"/>
      <c r="P54" s="57"/>
      <c r="Q54" s="21"/>
      <c r="R54" s="21"/>
      <c r="S54" s="15"/>
      <c r="T54" s="19"/>
      <c r="U54" s="2"/>
      <c r="V54" s="62"/>
    </row>
    <row r="55" spans="1:22" x14ac:dyDescent="0.3">
      <c r="A55" s="1"/>
      <c r="B55" s="97">
        <v>45</v>
      </c>
      <c r="C55" s="14" t="s">
        <v>60</v>
      </c>
      <c r="D55" s="14">
        <v>156</v>
      </c>
      <c r="E55" s="57" t="s">
        <v>61</v>
      </c>
      <c r="F55" s="21" t="s">
        <v>2</v>
      </c>
      <c r="G55" s="21" t="s">
        <v>2</v>
      </c>
      <c r="H55" s="15">
        <f>0.15*0.1*8*8</f>
        <v>0.96</v>
      </c>
      <c r="I55" s="19">
        <f t="shared" si="34"/>
        <v>149.76</v>
      </c>
      <c r="J55" s="2"/>
      <c r="L55" s="1"/>
      <c r="M55" s="97">
        <v>46</v>
      </c>
      <c r="N55" s="14" t="s">
        <v>60</v>
      </c>
      <c r="O55" s="14"/>
      <c r="P55" s="57"/>
      <c r="Q55" s="21"/>
      <c r="R55" s="21"/>
      <c r="S55" s="15"/>
      <c r="T55" s="19"/>
      <c r="U55" s="2"/>
      <c r="V55" s="62"/>
    </row>
    <row r="56" spans="1:22" x14ac:dyDescent="0.3">
      <c r="A56" s="1"/>
      <c r="B56" s="97">
        <v>46</v>
      </c>
      <c r="C56" s="86" t="s">
        <v>67</v>
      </c>
      <c r="D56" s="14">
        <v>864</v>
      </c>
      <c r="E56" s="58" t="s">
        <v>68</v>
      </c>
      <c r="F56" s="21" t="s">
        <v>2</v>
      </c>
      <c r="G56" s="21" t="s">
        <v>2</v>
      </c>
      <c r="H56" s="15">
        <f>0.2*0.22*8*6</f>
        <v>2.1120000000000001</v>
      </c>
      <c r="I56" s="19">
        <f t="shared" si="34"/>
        <v>1824.768</v>
      </c>
      <c r="J56" s="2"/>
      <c r="L56" s="1"/>
      <c r="M56" s="97">
        <v>47</v>
      </c>
      <c r="N56" s="14" t="s">
        <v>67</v>
      </c>
      <c r="O56" s="14">
        <v>44</v>
      </c>
      <c r="P56" s="57" t="s">
        <v>26</v>
      </c>
      <c r="Q56" s="21" t="s">
        <v>2</v>
      </c>
      <c r="R56" s="21" t="s">
        <v>2</v>
      </c>
      <c r="S56" s="15">
        <f>2*1*8*6</f>
        <v>96</v>
      </c>
      <c r="T56" s="19">
        <f t="shared" si="35"/>
        <v>4224</v>
      </c>
      <c r="U56" s="2"/>
      <c r="V56" s="62"/>
    </row>
    <row r="57" spans="1:22" x14ac:dyDescent="0.3">
      <c r="A57" s="1"/>
      <c r="B57" s="97">
        <v>47</v>
      </c>
      <c r="C57" s="87"/>
      <c r="D57" s="56">
        <v>90</v>
      </c>
      <c r="E57" s="67" t="s">
        <v>81</v>
      </c>
      <c r="F57" s="21" t="s">
        <v>2</v>
      </c>
      <c r="G57" s="21" t="s">
        <v>2</v>
      </c>
      <c r="H57" s="15">
        <f>0.5*0.6*8*6</f>
        <v>14.399999999999999</v>
      </c>
      <c r="I57" s="19">
        <f t="shared" ref="I57" si="36">+H57*D57</f>
        <v>1295.9999999999998</v>
      </c>
      <c r="J57" s="2"/>
      <c r="L57" s="1"/>
      <c r="M57" s="97">
        <v>48</v>
      </c>
      <c r="N57" s="50" t="s">
        <v>69</v>
      </c>
      <c r="O57" s="50"/>
      <c r="P57" s="57"/>
      <c r="Q57" s="21"/>
      <c r="R57" s="21"/>
      <c r="S57" s="15"/>
      <c r="T57" s="19"/>
      <c r="U57" s="2"/>
      <c r="V57" s="62"/>
    </row>
    <row r="58" spans="1:22" x14ac:dyDescent="0.3">
      <c r="A58" s="1"/>
      <c r="B58" s="97">
        <v>48</v>
      </c>
      <c r="C58" s="50" t="s">
        <v>69</v>
      </c>
      <c r="D58" s="50">
        <v>780</v>
      </c>
      <c r="E58" s="57" t="s">
        <v>70</v>
      </c>
      <c r="F58" s="21" t="s">
        <v>2</v>
      </c>
      <c r="G58" s="21" t="s">
        <v>2</v>
      </c>
      <c r="H58" s="15">
        <f>0.14*0.195*8*6</f>
        <v>1.3104000000000002</v>
      </c>
      <c r="I58" s="19">
        <f>+H58*D58</f>
        <v>1022.1120000000002</v>
      </c>
      <c r="J58" s="2"/>
      <c r="L58" s="1"/>
      <c r="M58" s="97">
        <v>49</v>
      </c>
      <c r="N58" s="50"/>
      <c r="O58" s="50"/>
      <c r="P58" s="57"/>
      <c r="Q58" s="64"/>
      <c r="R58" s="64"/>
      <c r="S58" s="65"/>
      <c r="T58" s="66"/>
      <c r="U58" s="2"/>
      <c r="V58" s="62"/>
    </row>
    <row r="59" spans="1:22" ht="16.2" thickBot="1" x14ac:dyDescent="0.35">
      <c r="A59" s="1"/>
      <c r="B59" s="98">
        <v>49</v>
      </c>
      <c r="C59" s="37"/>
      <c r="D59" s="24"/>
      <c r="E59" s="25"/>
      <c r="F59" s="25"/>
      <c r="G59" s="25"/>
      <c r="H59" s="25"/>
      <c r="I59" s="20"/>
      <c r="J59" s="2"/>
      <c r="L59" s="1"/>
      <c r="M59" s="98">
        <v>46</v>
      </c>
      <c r="N59" s="37"/>
      <c r="O59" s="24"/>
      <c r="P59" s="25"/>
      <c r="Q59" s="25"/>
      <c r="R59" s="25"/>
      <c r="S59" s="25"/>
      <c r="T59" s="20"/>
      <c r="U59" s="2"/>
      <c r="V59" s="62"/>
    </row>
    <row r="60" spans="1:22" ht="18" customHeight="1" thickBot="1" x14ac:dyDescent="0.35">
      <c r="A60" s="1"/>
      <c r="B60" s="9"/>
      <c r="C60" s="10"/>
      <c r="D60" s="10"/>
      <c r="E60" s="10"/>
      <c r="F60" s="13"/>
      <c r="G60" s="94" t="s">
        <v>18</v>
      </c>
      <c r="H60" s="95"/>
      <c r="I60" s="96">
        <f>SUM(I11:I59)</f>
        <v>142811.20495999997</v>
      </c>
      <c r="J60" s="2"/>
      <c r="K60" s="29"/>
      <c r="L60" s="1"/>
      <c r="M60" s="9"/>
      <c r="N60" s="10"/>
      <c r="O60" s="10"/>
      <c r="P60" s="10"/>
      <c r="Q60" s="13"/>
      <c r="R60" s="94" t="s">
        <v>10</v>
      </c>
      <c r="S60" s="95"/>
      <c r="T60" s="96">
        <f>SUM(T11:T59)</f>
        <v>166386.83679999999</v>
      </c>
      <c r="U60" s="2"/>
      <c r="V60" s="62"/>
    </row>
    <row r="61" spans="1:22" ht="18" customHeight="1" x14ac:dyDescent="0.3">
      <c r="A61" s="1"/>
      <c r="B61" s="9"/>
      <c r="C61" s="10"/>
      <c r="D61" s="10"/>
      <c r="E61" s="10"/>
      <c r="F61" s="13"/>
      <c r="G61" s="42"/>
      <c r="H61" s="42"/>
      <c r="I61" s="38"/>
      <c r="J61" s="2"/>
      <c r="K61" s="29"/>
      <c r="L61" s="1"/>
      <c r="M61" s="9"/>
      <c r="N61" s="10"/>
      <c r="O61" s="10"/>
      <c r="P61" s="10"/>
      <c r="Q61" s="13"/>
      <c r="R61" s="42"/>
      <c r="S61" s="42"/>
      <c r="T61" s="38"/>
      <c r="U61" s="2"/>
      <c r="V61" s="62"/>
    </row>
    <row r="62" spans="1:22" ht="18" customHeight="1" thickBot="1" x14ac:dyDescent="0.4">
      <c r="A62" s="5"/>
      <c r="B62" s="39"/>
      <c r="C62" s="40"/>
      <c r="D62" s="40"/>
      <c r="E62" s="40"/>
      <c r="F62" s="41"/>
      <c r="G62" s="88"/>
      <c r="H62" s="88"/>
      <c r="I62" s="88"/>
      <c r="J62" s="7"/>
      <c r="K62" s="29"/>
      <c r="L62" s="5"/>
      <c r="M62" s="6"/>
      <c r="N62" s="6"/>
      <c r="O62" s="23"/>
      <c r="P62" s="23"/>
      <c r="Q62" s="6"/>
      <c r="R62" s="88"/>
      <c r="S62" s="89"/>
      <c r="T62" s="89"/>
      <c r="U62" s="7"/>
    </row>
    <row r="63" spans="1:22" ht="18" customHeight="1" thickTop="1" x14ac:dyDescent="0.35">
      <c r="B63" s="9"/>
      <c r="C63" s="10"/>
      <c r="D63" s="10"/>
      <c r="E63" s="10"/>
      <c r="F63" s="13"/>
      <c r="G63" s="42"/>
      <c r="H63" s="42"/>
      <c r="I63" s="43"/>
      <c r="K63" s="29"/>
      <c r="M63" s="8"/>
      <c r="N63" s="8"/>
      <c r="O63" s="44"/>
      <c r="P63" s="44"/>
      <c r="Q63" s="8"/>
      <c r="R63" s="45"/>
      <c r="S63" s="46"/>
      <c r="T63" s="46"/>
    </row>
    <row r="64" spans="1:22" ht="23.25" customHeight="1" x14ac:dyDescent="0.3">
      <c r="B64" s="9"/>
      <c r="C64" s="10"/>
      <c r="D64" s="10"/>
      <c r="E64" s="53"/>
      <c r="F64" s="10"/>
      <c r="G64" s="42"/>
      <c r="H64" s="42"/>
      <c r="I64" s="38"/>
      <c r="K64" s="29"/>
    </row>
    <row r="65" spans="2:11" ht="19.8" x14ac:dyDescent="0.3">
      <c r="B65" s="9"/>
      <c r="C65" s="10"/>
      <c r="D65" s="10"/>
      <c r="E65" s="53"/>
      <c r="F65" s="10"/>
      <c r="G65" s="42"/>
      <c r="H65" s="42"/>
      <c r="I65" s="38"/>
      <c r="K65" s="29"/>
    </row>
    <row r="66" spans="2:11" ht="19.8" x14ac:dyDescent="0.3">
      <c r="B66" s="9"/>
      <c r="C66" s="10"/>
      <c r="D66" s="10"/>
      <c r="E66" s="53"/>
      <c r="F66" s="54"/>
      <c r="G66" s="28"/>
      <c r="H66" s="42"/>
      <c r="I66" s="38"/>
      <c r="K66" s="29"/>
    </row>
    <row r="67" spans="2:11" ht="19.8" x14ac:dyDescent="0.3">
      <c r="B67" s="9"/>
      <c r="C67" s="10"/>
      <c r="D67" s="10"/>
      <c r="E67" s="53"/>
      <c r="F67" s="54"/>
      <c r="G67" s="28"/>
      <c r="H67" s="42"/>
      <c r="I67" s="38"/>
      <c r="K67" s="29"/>
    </row>
    <row r="68" spans="2:11" ht="19.8" x14ac:dyDescent="0.3">
      <c r="B68" s="32"/>
      <c r="C68" s="10"/>
      <c r="D68" s="10"/>
      <c r="E68" s="43"/>
      <c r="F68" s="10"/>
      <c r="G68" s="42"/>
      <c r="H68" s="42"/>
      <c r="I68" s="38"/>
      <c r="K68" s="29"/>
    </row>
    <row r="69" spans="2:11" ht="19.8" x14ac:dyDescent="0.3">
      <c r="B69" s="9"/>
      <c r="C69" s="10"/>
      <c r="D69" s="10"/>
      <c r="E69" s="10"/>
      <c r="F69" s="13"/>
      <c r="G69" s="42"/>
      <c r="H69" s="42"/>
      <c r="I69" s="38"/>
      <c r="K69" s="29"/>
    </row>
    <row r="70" spans="2:11" ht="19.8" x14ac:dyDescent="0.3">
      <c r="B70" s="55"/>
      <c r="C70" s="28"/>
      <c r="D70" s="10"/>
      <c r="E70" s="10"/>
      <c r="F70" s="13"/>
      <c r="G70" s="42"/>
      <c r="H70" s="42"/>
      <c r="I70" s="38"/>
      <c r="K70" s="29"/>
    </row>
    <row r="71" spans="2:11" ht="19.8" x14ac:dyDescent="0.3">
      <c r="B71" s="9"/>
      <c r="C71" s="10"/>
      <c r="D71" s="10"/>
      <c r="E71" s="10"/>
      <c r="F71" s="13"/>
      <c r="G71" s="42"/>
      <c r="H71" s="42"/>
      <c r="I71" s="38"/>
      <c r="K71" s="29"/>
    </row>
    <row r="72" spans="2:11" ht="19.8" x14ac:dyDescent="0.3">
      <c r="B72" s="9"/>
      <c r="C72" s="32"/>
      <c r="D72" s="10"/>
      <c r="E72" s="10"/>
      <c r="F72" s="32"/>
      <c r="G72" s="32"/>
      <c r="H72" s="32"/>
      <c r="I72" s="38"/>
      <c r="K72" s="29"/>
    </row>
    <row r="73" spans="2:11" ht="19.8" x14ac:dyDescent="0.3">
      <c r="B73" s="9"/>
      <c r="C73" s="47"/>
      <c r="D73" s="10"/>
      <c r="E73" s="10"/>
      <c r="F73" s="47"/>
      <c r="G73" s="42"/>
      <c r="H73" s="42"/>
      <c r="I73" s="38"/>
      <c r="K73" s="29"/>
    </row>
    <row r="74" spans="2:11" ht="19.8" x14ac:dyDescent="0.3">
      <c r="B74" s="9"/>
      <c r="C74" s="47"/>
      <c r="D74" s="10"/>
      <c r="E74" s="10"/>
      <c r="F74" s="47"/>
      <c r="G74" s="42"/>
      <c r="H74" s="42"/>
      <c r="I74" s="38"/>
      <c r="K74" s="29"/>
    </row>
    <row r="75" spans="2:11" ht="19.8" x14ac:dyDescent="0.3">
      <c r="B75" s="9"/>
      <c r="C75" s="32"/>
      <c r="D75" s="10"/>
      <c r="E75" s="10"/>
      <c r="F75" s="32"/>
      <c r="G75" s="32"/>
      <c r="H75" s="32"/>
      <c r="I75" s="38"/>
      <c r="K75" s="29"/>
    </row>
    <row r="76" spans="2:11" ht="19.8" x14ac:dyDescent="0.3">
      <c r="B76" s="9"/>
      <c r="C76" s="47"/>
      <c r="D76" s="10"/>
      <c r="E76" s="10"/>
      <c r="F76" s="47"/>
      <c r="G76" s="42"/>
      <c r="H76" s="32"/>
      <c r="I76" s="38"/>
      <c r="K76" s="29"/>
    </row>
    <row r="77" spans="2:11" ht="19.8" x14ac:dyDescent="0.3">
      <c r="B77" s="9"/>
      <c r="C77" s="47"/>
      <c r="D77" s="10"/>
      <c r="E77" s="10"/>
      <c r="F77" s="47"/>
      <c r="G77" s="42"/>
      <c r="H77" s="42"/>
      <c r="I77" s="38"/>
      <c r="K77" s="29"/>
    </row>
    <row r="78" spans="2:11" ht="19.8" x14ac:dyDescent="0.3">
      <c r="B78" s="9"/>
      <c r="C78" s="32"/>
      <c r="D78" s="10"/>
      <c r="E78" s="10"/>
      <c r="F78" s="32"/>
      <c r="G78" s="32"/>
      <c r="H78" s="42"/>
      <c r="I78" s="38"/>
      <c r="K78" s="29"/>
    </row>
    <row r="79" spans="2:11" ht="19.8" x14ac:dyDescent="0.3">
      <c r="B79" s="9"/>
      <c r="C79" s="47"/>
      <c r="D79" s="10"/>
      <c r="E79" s="10"/>
      <c r="F79" s="47"/>
      <c r="G79" s="42"/>
      <c r="H79" s="42"/>
      <c r="I79" s="38"/>
      <c r="K79" s="29"/>
    </row>
    <row r="80" spans="2:11" ht="19.8" x14ac:dyDescent="0.3">
      <c r="B80" s="9"/>
      <c r="C80" s="47"/>
      <c r="D80" s="10"/>
      <c r="E80" s="10"/>
      <c r="F80" s="47"/>
      <c r="G80" s="42"/>
      <c r="H80" s="42"/>
      <c r="I80" s="38"/>
      <c r="K80" s="29"/>
    </row>
    <row r="81" spans="2:11" ht="19.8" x14ac:dyDescent="0.3">
      <c r="B81" s="9"/>
      <c r="C81" s="32"/>
      <c r="D81" s="10"/>
      <c r="E81" s="10"/>
      <c r="F81" s="47"/>
      <c r="G81" s="42"/>
      <c r="H81" s="42"/>
      <c r="I81" s="38"/>
      <c r="K81" s="29"/>
    </row>
    <row r="82" spans="2:11" ht="19.8" x14ac:dyDescent="0.3">
      <c r="B82" s="9"/>
      <c r="C82" s="47"/>
      <c r="D82" s="42"/>
      <c r="E82" s="42"/>
      <c r="F82" s="47"/>
      <c r="G82" s="42"/>
      <c r="H82" s="42"/>
      <c r="I82" s="38"/>
      <c r="K82" s="29"/>
    </row>
    <row r="83" spans="2:11" ht="19.8" x14ac:dyDescent="0.3">
      <c r="B83" s="9"/>
      <c r="C83" s="47"/>
      <c r="D83" s="42"/>
      <c r="E83" s="42"/>
      <c r="F83" s="42"/>
      <c r="G83" s="42"/>
      <c r="H83" s="42"/>
      <c r="I83" s="38"/>
      <c r="K83" s="29"/>
    </row>
    <row r="84" spans="2:11" ht="19.8" x14ac:dyDescent="0.3">
      <c r="B84" s="9"/>
      <c r="C84" s="47"/>
      <c r="D84" s="42"/>
      <c r="E84" s="42"/>
      <c r="F84" s="47"/>
      <c r="G84" s="42"/>
      <c r="H84" s="42"/>
      <c r="I84" s="38"/>
      <c r="K84" s="29"/>
    </row>
    <row r="85" spans="2:11" ht="17.399999999999999" x14ac:dyDescent="0.35">
      <c r="B85" s="8"/>
      <c r="C85" s="8"/>
      <c r="D85" s="44"/>
      <c r="E85" s="44"/>
      <c r="F85" s="8"/>
      <c r="G85" s="8"/>
      <c r="H85" s="8"/>
      <c r="I85" s="8"/>
      <c r="K85" s="28"/>
    </row>
    <row r="86" spans="2:11" ht="17.399999999999999" x14ac:dyDescent="0.35">
      <c r="B86" s="8"/>
      <c r="C86" s="8"/>
      <c r="D86" s="44"/>
      <c r="E86" s="44"/>
      <c r="F86" s="8"/>
      <c r="G86" s="8"/>
      <c r="H86" s="8"/>
      <c r="I86" s="8"/>
      <c r="K86" s="28"/>
    </row>
    <row r="87" spans="2:11" ht="17.399999999999999" x14ac:dyDescent="0.35">
      <c r="B87" s="8"/>
      <c r="C87" s="8"/>
      <c r="D87" s="8"/>
      <c r="E87" s="8"/>
      <c r="F87" s="8"/>
      <c r="G87" s="8"/>
      <c r="H87" s="8"/>
      <c r="I87" s="8"/>
    </row>
    <row r="88" spans="2:11" ht="17.399999999999999" x14ac:dyDescent="0.35">
      <c r="B88" s="8"/>
      <c r="C88" s="8"/>
      <c r="D88" s="8"/>
      <c r="E88" s="8"/>
      <c r="F88" s="8"/>
      <c r="G88" s="8"/>
      <c r="H88" s="8"/>
      <c r="I88" s="8"/>
    </row>
    <row r="89" spans="2:11" ht="17.399999999999999" x14ac:dyDescent="0.35">
      <c r="B89" s="8"/>
      <c r="C89" s="8"/>
      <c r="D89" s="8"/>
      <c r="E89" s="8"/>
      <c r="F89" s="8"/>
      <c r="G89" s="8"/>
      <c r="H89" s="8"/>
      <c r="I89" s="8"/>
    </row>
    <row r="90" spans="2:11" ht="17.399999999999999" x14ac:dyDescent="0.35">
      <c r="B90" s="8"/>
      <c r="C90" s="8"/>
      <c r="D90" s="8"/>
      <c r="E90" s="8"/>
      <c r="F90" s="8"/>
      <c r="G90" s="8"/>
      <c r="H90" s="8"/>
      <c r="I90" s="8"/>
    </row>
    <row r="91" spans="2:11" ht="17.399999999999999" x14ac:dyDescent="0.35">
      <c r="B91" s="8"/>
      <c r="C91" s="8"/>
      <c r="D91" s="8"/>
      <c r="E91" s="8"/>
      <c r="F91" s="8"/>
      <c r="G91" s="8"/>
      <c r="H91" s="8"/>
      <c r="I91" s="8"/>
    </row>
    <row r="92" spans="2:11" ht="17.399999999999999" x14ac:dyDescent="0.35">
      <c r="B92" s="8"/>
      <c r="C92" s="8"/>
      <c r="D92" s="8"/>
      <c r="E92" s="8"/>
      <c r="F92" s="8"/>
      <c r="G92" s="8"/>
      <c r="H92" s="8"/>
      <c r="I92" s="8"/>
    </row>
    <row r="93" spans="2:11" ht="17.399999999999999" x14ac:dyDescent="0.35">
      <c r="B93" s="8"/>
      <c r="C93" s="8"/>
      <c r="D93" s="8"/>
      <c r="E93" s="8"/>
      <c r="F93" s="8"/>
      <c r="G93" s="8"/>
      <c r="H93" s="8"/>
      <c r="I93" s="8"/>
    </row>
    <row r="94" spans="2:11" ht="17.399999999999999" x14ac:dyDescent="0.35">
      <c r="B94" s="8"/>
      <c r="C94" s="8"/>
      <c r="D94" s="8"/>
      <c r="E94" s="8"/>
      <c r="F94" s="8"/>
      <c r="G94" s="8"/>
      <c r="H94" s="8"/>
      <c r="I94" s="8"/>
    </row>
    <row r="95" spans="2:11" ht="17.399999999999999" x14ac:dyDescent="0.35">
      <c r="B95" s="8"/>
      <c r="C95" s="8"/>
      <c r="D95" s="8"/>
      <c r="E95" s="8"/>
      <c r="F95" s="8"/>
      <c r="G95" s="8"/>
      <c r="H95" s="8"/>
      <c r="I95" s="8"/>
    </row>
    <row r="96" spans="2:11" ht="17.399999999999999" x14ac:dyDescent="0.35">
      <c r="B96" s="8"/>
      <c r="C96" s="8"/>
      <c r="D96" s="8"/>
      <c r="E96" s="8"/>
      <c r="F96" s="8"/>
      <c r="G96" s="8"/>
      <c r="H96" s="8"/>
      <c r="I96" s="8"/>
    </row>
    <row r="97" spans="2:9" ht="17.399999999999999" x14ac:dyDescent="0.35">
      <c r="B97" s="8"/>
      <c r="C97" s="8"/>
      <c r="D97" s="8"/>
      <c r="E97" s="8"/>
      <c r="F97" s="8"/>
      <c r="G97" s="8"/>
      <c r="H97" s="8"/>
      <c r="I97" s="8"/>
    </row>
    <row r="98" spans="2:9" ht="17.399999999999999" x14ac:dyDescent="0.35">
      <c r="B98" s="8"/>
      <c r="C98" s="8"/>
      <c r="D98" s="8"/>
      <c r="E98" s="8"/>
      <c r="F98" s="8"/>
      <c r="G98" s="8"/>
      <c r="H98" s="8"/>
      <c r="I98" s="8"/>
    </row>
    <row r="99" spans="2:9" ht="17.399999999999999" x14ac:dyDescent="0.35">
      <c r="B99" s="8"/>
      <c r="C99" s="8"/>
      <c r="D99" s="8"/>
      <c r="E99" s="8"/>
      <c r="F99" s="8"/>
      <c r="G99" s="8"/>
      <c r="H99" s="8"/>
      <c r="I99" s="8"/>
    </row>
    <row r="100" spans="2:9" ht="17.399999999999999" x14ac:dyDescent="0.35">
      <c r="B100" s="8"/>
      <c r="C100" s="8"/>
      <c r="D100" s="8"/>
      <c r="E100" s="8"/>
      <c r="F100" s="8"/>
      <c r="G100" s="8"/>
      <c r="H100" s="8"/>
      <c r="I100" s="8"/>
    </row>
    <row r="101" spans="2:9" ht="17.399999999999999" x14ac:dyDescent="0.35">
      <c r="B101" s="8"/>
      <c r="C101" s="8"/>
      <c r="D101" s="8"/>
      <c r="E101" s="8"/>
      <c r="F101" s="8"/>
      <c r="G101" s="8"/>
      <c r="H101" s="8"/>
      <c r="I101" s="8"/>
    </row>
    <row r="102" spans="2:9" ht="17.399999999999999" x14ac:dyDescent="0.35">
      <c r="B102" s="8"/>
      <c r="C102" s="8"/>
      <c r="D102" s="8"/>
      <c r="E102" s="8"/>
      <c r="F102" s="8"/>
      <c r="G102" s="8"/>
      <c r="H102" s="8"/>
      <c r="I102" s="8"/>
    </row>
    <row r="103" spans="2:9" ht="17.399999999999999" x14ac:dyDescent="0.35">
      <c r="B103" s="8"/>
      <c r="C103" s="8"/>
      <c r="D103" s="8"/>
      <c r="E103" s="8"/>
      <c r="F103" s="8"/>
      <c r="G103" s="8"/>
      <c r="H103" s="8"/>
      <c r="I103" s="8"/>
    </row>
    <row r="104" spans="2:9" ht="17.399999999999999" x14ac:dyDescent="0.35">
      <c r="B104" s="8"/>
      <c r="C104" s="8"/>
      <c r="D104" s="8"/>
      <c r="E104" s="8"/>
      <c r="F104" s="8"/>
      <c r="G104" s="8"/>
      <c r="H104" s="8"/>
      <c r="I104" s="8"/>
    </row>
    <row r="105" spans="2:9" ht="17.399999999999999" x14ac:dyDescent="0.35">
      <c r="B105" s="8"/>
      <c r="C105" s="8"/>
      <c r="D105" s="8"/>
      <c r="E105" s="8"/>
      <c r="F105" s="8"/>
      <c r="G105" s="8"/>
      <c r="H105" s="8"/>
      <c r="I105" s="8"/>
    </row>
    <row r="106" spans="2:9" ht="17.399999999999999" x14ac:dyDescent="0.35">
      <c r="B106" s="8"/>
      <c r="C106" s="8"/>
      <c r="D106" s="8"/>
      <c r="E106" s="8"/>
      <c r="F106" s="8"/>
      <c r="G106" s="8"/>
      <c r="H106" s="8"/>
      <c r="I106" s="8"/>
    </row>
    <row r="107" spans="2:9" ht="17.399999999999999" x14ac:dyDescent="0.35">
      <c r="B107" s="8"/>
      <c r="C107" s="8"/>
      <c r="D107" s="8"/>
      <c r="E107" s="8"/>
      <c r="F107" s="8"/>
      <c r="G107" s="8"/>
      <c r="H107" s="8"/>
      <c r="I107" s="8"/>
    </row>
    <row r="108" spans="2:9" ht="17.399999999999999" x14ac:dyDescent="0.35">
      <c r="B108" s="8"/>
      <c r="C108" s="8"/>
      <c r="D108" s="8"/>
      <c r="E108" s="8"/>
      <c r="F108" s="8"/>
      <c r="G108" s="8"/>
      <c r="H108" s="8"/>
      <c r="I108" s="8"/>
    </row>
    <row r="109" spans="2:9" ht="17.399999999999999" x14ac:dyDescent="0.35">
      <c r="B109" s="8"/>
      <c r="C109" s="8"/>
      <c r="D109" s="8"/>
      <c r="E109" s="8"/>
      <c r="F109" s="8"/>
      <c r="G109" s="8"/>
      <c r="H109" s="8"/>
      <c r="I109" s="8"/>
    </row>
    <row r="110" spans="2:9" ht="17.399999999999999" x14ac:dyDescent="0.35">
      <c r="B110" s="8"/>
      <c r="C110" s="8"/>
      <c r="D110" s="8"/>
      <c r="E110" s="8"/>
      <c r="F110" s="8"/>
      <c r="G110" s="8"/>
      <c r="H110" s="8"/>
      <c r="I110" s="8"/>
    </row>
    <row r="111" spans="2:9" ht="17.399999999999999" x14ac:dyDescent="0.35">
      <c r="B111" s="8"/>
      <c r="C111" s="8"/>
      <c r="D111" s="8"/>
      <c r="E111" s="8"/>
      <c r="F111" s="8"/>
      <c r="G111" s="8"/>
      <c r="H111" s="8"/>
      <c r="I111" s="8"/>
    </row>
    <row r="112" spans="2:9" ht="17.399999999999999" x14ac:dyDescent="0.35">
      <c r="B112" s="8"/>
      <c r="C112" s="8"/>
      <c r="D112" s="8"/>
      <c r="E112" s="8"/>
      <c r="F112" s="8"/>
      <c r="G112" s="8"/>
      <c r="H112" s="8"/>
      <c r="I112" s="8"/>
    </row>
    <row r="113" spans="2:9" ht="17.399999999999999" x14ac:dyDescent="0.35">
      <c r="B113" s="8"/>
      <c r="C113" s="8"/>
      <c r="D113" s="8"/>
      <c r="E113" s="8"/>
      <c r="F113" s="8"/>
      <c r="G113" s="8"/>
      <c r="H113" s="8"/>
      <c r="I113" s="8"/>
    </row>
    <row r="114" spans="2:9" ht="17.399999999999999" x14ac:dyDescent="0.35">
      <c r="B114" s="8"/>
      <c r="C114" s="8"/>
      <c r="D114" s="8"/>
      <c r="E114" s="8"/>
      <c r="F114" s="8"/>
      <c r="G114" s="8"/>
      <c r="H114" s="8"/>
      <c r="I114" s="8"/>
    </row>
    <row r="115" spans="2:9" ht="17.399999999999999" x14ac:dyDescent="0.35">
      <c r="B115" s="8"/>
      <c r="C115" s="8"/>
      <c r="D115" s="8"/>
      <c r="E115" s="8"/>
      <c r="F115" s="8"/>
      <c r="G115" s="8"/>
      <c r="H115" s="8"/>
      <c r="I115" s="8"/>
    </row>
    <row r="116" spans="2:9" ht="17.399999999999999" x14ac:dyDescent="0.35">
      <c r="B116" s="8"/>
      <c r="C116" s="8"/>
      <c r="D116" s="8"/>
      <c r="E116" s="8"/>
      <c r="F116" s="8"/>
      <c r="G116" s="8"/>
      <c r="H116" s="8"/>
      <c r="I116" s="8"/>
    </row>
    <row r="117" spans="2:9" ht="17.399999999999999" x14ac:dyDescent="0.35">
      <c r="B117" s="8"/>
      <c r="C117" s="8"/>
      <c r="D117" s="8"/>
      <c r="E117" s="8"/>
      <c r="F117" s="8"/>
      <c r="G117" s="8"/>
      <c r="H117" s="8"/>
      <c r="I117" s="8"/>
    </row>
    <row r="118" spans="2:9" ht="17.399999999999999" x14ac:dyDescent="0.35">
      <c r="B118" s="8"/>
      <c r="C118" s="8"/>
      <c r="D118" s="8"/>
      <c r="E118" s="8"/>
      <c r="F118" s="8"/>
      <c r="G118" s="8"/>
      <c r="H118" s="8"/>
      <c r="I118" s="8"/>
    </row>
    <row r="119" spans="2:9" ht="17.399999999999999" x14ac:dyDescent="0.35">
      <c r="B119" s="8"/>
      <c r="C119" s="8"/>
      <c r="D119" s="8"/>
      <c r="E119" s="8"/>
      <c r="F119" s="8"/>
      <c r="G119" s="8"/>
      <c r="H119" s="8"/>
      <c r="I119" s="8"/>
    </row>
    <row r="120" spans="2:9" ht="17.399999999999999" x14ac:dyDescent="0.35">
      <c r="B120" s="8"/>
      <c r="C120" s="8"/>
      <c r="D120" s="8"/>
      <c r="E120" s="8"/>
      <c r="F120" s="8"/>
      <c r="G120" s="8"/>
      <c r="H120" s="8"/>
      <c r="I120" s="8"/>
    </row>
    <row r="121" spans="2:9" ht="17.399999999999999" x14ac:dyDescent="0.35">
      <c r="B121" s="8"/>
      <c r="C121" s="8"/>
      <c r="D121" s="8"/>
      <c r="E121" s="8"/>
      <c r="F121" s="8"/>
      <c r="G121" s="8"/>
      <c r="H121" s="8"/>
      <c r="I121" s="8"/>
    </row>
    <row r="122" spans="2:9" ht="17.399999999999999" x14ac:dyDescent="0.35">
      <c r="B122" s="8"/>
      <c r="C122" s="8"/>
      <c r="D122" s="8"/>
      <c r="E122" s="8"/>
      <c r="F122" s="8"/>
      <c r="G122" s="8"/>
      <c r="H122" s="8"/>
      <c r="I122" s="8"/>
    </row>
    <row r="123" spans="2:9" ht="17.399999999999999" x14ac:dyDescent="0.35">
      <c r="B123" s="8"/>
      <c r="C123" s="8"/>
      <c r="D123" s="8"/>
      <c r="E123" s="8"/>
      <c r="F123" s="8"/>
      <c r="G123" s="8"/>
      <c r="H123" s="8"/>
      <c r="I123" s="8"/>
    </row>
    <row r="124" spans="2:9" ht="17.399999999999999" x14ac:dyDescent="0.35">
      <c r="B124" s="8"/>
      <c r="C124" s="8"/>
      <c r="D124" s="8"/>
      <c r="E124" s="8"/>
      <c r="F124" s="8"/>
      <c r="G124" s="8"/>
      <c r="H124" s="8"/>
      <c r="I124" s="8"/>
    </row>
    <row r="125" spans="2:9" ht="17.399999999999999" x14ac:dyDescent="0.35">
      <c r="B125" s="8"/>
      <c r="C125" s="8"/>
      <c r="D125" s="8"/>
      <c r="E125" s="8"/>
      <c r="F125" s="8"/>
      <c r="G125" s="8"/>
      <c r="H125" s="8"/>
      <c r="I125" s="8"/>
    </row>
    <row r="126" spans="2:9" ht="17.399999999999999" x14ac:dyDescent="0.35">
      <c r="B126" s="8"/>
      <c r="C126" s="8"/>
      <c r="D126" s="8"/>
      <c r="E126" s="8"/>
      <c r="F126" s="8"/>
      <c r="G126" s="8"/>
      <c r="H126" s="8"/>
      <c r="I126" s="8"/>
    </row>
    <row r="127" spans="2:9" ht="17.399999999999999" x14ac:dyDescent="0.35">
      <c r="B127" s="8"/>
      <c r="C127" s="8"/>
      <c r="D127" s="8"/>
      <c r="E127" s="8"/>
      <c r="F127" s="8"/>
      <c r="G127" s="8"/>
      <c r="H127" s="8"/>
      <c r="I127" s="8"/>
    </row>
    <row r="128" spans="2:9" ht="17.399999999999999" x14ac:dyDescent="0.35">
      <c r="B128" s="8"/>
      <c r="C128" s="8"/>
      <c r="D128" s="8"/>
      <c r="E128" s="8"/>
      <c r="F128" s="8"/>
      <c r="G128" s="8"/>
      <c r="H128" s="8"/>
      <c r="I128" s="8"/>
    </row>
    <row r="129" spans="2:9" ht="17.399999999999999" x14ac:dyDescent="0.35">
      <c r="B129" s="8"/>
      <c r="C129" s="8"/>
      <c r="D129" s="8"/>
      <c r="E129" s="8"/>
      <c r="F129" s="8"/>
      <c r="G129" s="8"/>
      <c r="H129" s="8"/>
      <c r="I129" s="8"/>
    </row>
    <row r="130" spans="2:9" ht="17.399999999999999" x14ac:dyDescent="0.35">
      <c r="B130" s="8"/>
      <c r="C130" s="8"/>
      <c r="D130" s="8"/>
      <c r="E130" s="8"/>
      <c r="F130" s="8"/>
      <c r="G130" s="8"/>
      <c r="H130" s="8"/>
      <c r="I130" s="8"/>
    </row>
    <row r="131" spans="2:9" ht="17.399999999999999" x14ac:dyDescent="0.35">
      <c r="B131" s="8"/>
      <c r="C131" s="8"/>
      <c r="D131" s="8"/>
      <c r="E131" s="8"/>
      <c r="F131" s="8"/>
      <c r="G131" s="8"/>
      <c r="H131" s="8"/>
      <c r="I131" s="8"/>
    </row>
    <row r="132" spans="2:9" ht="17.399999999999999" x14ac:dyDescent="0.35">
      <c r="B132" s="8"/>
      <c r="C132" s="8"/>
      <c r="D132" s="8"/>
      <c r="E132" s="8"/>
      <c r="F132" s="8"/>
      <c r="G132" s="8"/>
      <c r="H132" s="8"/>
      <c r="I132" s="8"/>
    </row>
    <row r="133" spans="2:9" ht="17.399999999999999" x14ac:dyDescent="0.35">
      <c r="B133" s="8"/>
      <c r="C133" s="8"/>
      <c r="D133" s="8"/>
      <c r="E133" s="8"/>
      <c r="F133" s="8"/>
      <c r="G133" s="8"/>
      <c r="H133" s="8"/>
      <c r="I133" s="8"/>
    </row>
    <row r="134" spans="2:9" ht="17.399999999999999" x14ac:dyDescent="0.35">
      <c r="B134" s="8"/>
      <c r="C134" s="8"/>
      <c r="D134" s="8"/>
      <c r="E134" s="8"/>
      <c r="F134" s="8"/>
      <c r="G134" s="8"/>
      <c r="H134" s="8"/>
      <c r="I134" s="8"/>
    </row>
    <row r="135" spans="2:9" ht="17.399999999999999" x14ac:dyDescent="0.35">
      <c r="B135" s="8"/>
      <c r="C135" s="8"/>
      <c r="D135" s="8"/>
      <c r="E135" s="8"/>
      <c r="F135" s="8"/>
      <c r="G135" s="8"/>
      <c r="H135" s="8"/>
      <c r="I135" s="8"/>
    </row>
    <row r="136" spans="2:9" ht="17.399999999999999" x14ac:dyDescent="0.35">
      <c r="B136" s="8"/>
      <c r="C136" s="8"/>
      <c r="D136" s="8"/>
      <c r="E136" s="8"/>
      <c r="F136" s="8"/>
      <c r="G136" s="8"/>
      <c r="H136" s="8"/>
      <c r="I136" s="8"/>
    </row>
    <row r="137" spans="2:9" ht="17.399999999999999" x14ac:dyDescent="0.35">
      <c r="B137" s="8"/>
      <c r="C137" s="8"/>
      <c r="D137" s="8"/>
      <c r="E137" s="8"/>
      <c r="F137" s="8"/>
      <c r="G137" s="8"/>
      <c r="H137" s="8"/>
      <c r="I137" s="8"/>
    </row>
    <row r="138" spans="2:9" ht="17.399999999999999" x14ac:dyDescent="0.35">
      <c r="B138" s="8"/>
      <c r="C138" s="8"/>
      <c r="D138" s="8"/>
      <c r="E138" s="8"/>
      <c r="F138" s="8"/>
      <c r="G138" s="8"/>
      <c r="H138" s="8"/>
      <c r="I138" s="8"/>
    </row>
    <row r="139" spans="2:9" ht="17.399999999999999" x14ac:dyDescent="0.35">
      <c r="B139" s="8"/>
      <c r="C139" s="8"/>
      <c r="D139" s="8"/>
      <c r="E139" s="8"/>
      <c r="F139" s="8"/>
      <c r="G139" s="8"/>
      <c r="H139" s="8"/>
      <c r="I139" s="8"/>
    </row>
    <row r="140" spans="2:9" ht="17.399999999999999" x14ac:dyDescent="0.35">
      <c r="B140" s="8"/>
      <c r="C140" s="8"/>
      <c r="D140" s="8"/>
      <c r="E140" s="8"/>
      <c r="F140" s="8"/>
      <c r="G140" s="8"/>
      <c r="H140" s="8"/>
      <c r="I140" s="8"/>
    </row>
    <row r="141" spans="2:9" ht="17.399999999999999" x14ac:dyDescent="0.35">
      <c r="B141" s="8"/>
      <c r="C141" s="8"/>
      <c r="D141" s="8"/>
      <c r="E141" s="8"/>
      <c r="F141" s="8"/>
      <c r="G141" s="8"/>
      <c r="H141" s="8"/>
      <c r="I141" s="8"/>
    </row>
    <row r="142" spans="2:9" ht="17.399999999999999" x14ac:dyDescent="0.35">
      <c r="B142" s="8"/>
      <c r="C142" s="8"/>
      <c r="D142" s="8"/>
      <c r="E142" s="8"/>
      <c r="F142" s="8"/>
      <c r="G142" s="8"/>
      <c r="H142" s="8"/>
      <c r="I142" s="8"/>
    </row>
    <row r="143" spans="2:9" ht="17.399999999999999" x14ac:dyDescent="0.35">
      <c r="B143" s="8"/>
      <c r="C143" s="8"/>
      <c r="D143" s="8"/>
      <c r="E143" s="8"/>
      <c r="F143" s="8"/>
      <c r="G143" s="8"/>
      <c r="H143" s="8"/>
      <c r="I143" s="8"/>
    </row>
    <row r="144" spans="2:9" ht="17.399999999999999" x14ac:dyDescent="0.35">
      <c r="B144" s="8"/>
      <c r="C144" s="8"/>
      <c r="D144" s="8"/>
      <c r="E144" s="8"/>
      <c r="F144" s="8"/>
      <c r="G144" s="8"/>
      <c r="H144" s="8"/>
      <c r="I144" s="8"/>
    </row>
    <row r="145" spans="2:9" ht="17.399999999999999" x14ac:dyDescent="0.35">
      <c r="B145" s="8"/>
      <c r="C145" s="8"/>
      <c r="D145" s="8"/>
      <c r="E145" s="8"/>
      <c r="F145" s="8"/>
      <c r="G145" s="8"/>
      <c r="H145" s="8"/>
      <c r="I145" s="8"/>
    </row>
    <row r="146" spans="2:9" ht="17.399999999999999" x14ac:dyDescent="0.35">
      <c r="B146" s="8"/>
      <c r="C146" s="8"/>
      <c r="D146" s="8"/>
      <c r="E146" s="8"/>
      <c r="F146" s="8"/>
      <c r="G146" s="8"/>
      <c r="H146" s="8"/>
      <c r="I146" s="8"/>
    </row>
    <row r="147" spans="2:9" ht="17.399999999999999" x14ac:dyDescent="0.35">
      <c r="B147" s="8"/>
      <c r="C147" s="8"/>
      <c r="D147" s="8"/>
      <c r="E147" s="8"/>
      <c r="F147" s="8"/>
      <c r="G147" s="8"/>
      <c r="H147" s="8"/>
      <c r="I147" s="8"/>
    </row>
    <row r="148" spans="2:9" ht="17.399999999999999" x14ac:dyDescent="0.35">
      <c r="B148" s="8"/>
      <c r="C148" s="8"/>
      <c r="D148" s="8"/>
      <c r="E148" s="8"/>
      <c r="F148" s="8"/>
      <c r="G148" s="8"/>
      <c r="H148" s="8"/>
      <c r="I148" s="8"/>
    </row>
    <row r="149" spans="2:9" ht="17.399999999999999" x14ac:dyDescent="0.35">
      <c r="B149" s="8"/>
      <c r="C149" s="8"/>
      <c r="D149" s="8"/>
      <c r="E149" s="8"/>
      <c r="F149" s="8"/>
      <c r="G149" s="8"/>
      <c r="H149" s="8"/>
      <c r="I149" s="8"/>
    </row>
    <row r="150" spans="2:9" ht="17.399999999999999" x14ac:dyDescent="0.35">
      <c r="B150" s="8"/>
      <c r="C150" s="8"/>
      <c r="D150" s="8"/>
      <c r="E150" s="8"/>
      <c r="F150" s="8"/>
      <c r="G150" s="8"/>
      <c r="H150" s="8"/>
      <c r="I150" s="8"/>
    </row>
    <row r="151" spans="2:9" ht="17.399999999999999" x14ac:dyDescent="0.35">
      <c r="B151" s="8"/>
      <c r="C151" s="8"/>
      <c r="D151" s="8"/>
      <c r="E151" s="8"/>
      <c r="F151" s="8"/>
      <c r="G151" s="8"/>
      <c r="H151" s="8"/>
      <c r="I151" s="8"/>
    </row>
    <row r="152" spans="2:9" ht="17.399999999999999" x14ac:dyDescent="0.35">
      <c r="B152" s="8"/>
      <c r="C152" s="8"/>
      <c r="D152" s="8"/>
      <c r="E152" s="8"/>
      <c r="F152" s="8"/>
      <c r="G152" s="8"/>
      <c r="H152" s="8"/>
      <c r="I152" s="8"/>
    </row>
    <row r="153" spans="2:9" ht="17.399999999999999" x14ac:dyDescent="0.35">
      <c r="B153" s="8"/>
      <c r="C153" s="8"/>
      <c r="D153" s="8"/>
      <c r="E153" s="8"/>
      <c r="F153" s="8"/>
      <c r="G153" s="8"/>
      <c r="H153" s="8"/>
      <c r="I153" s="8"/>
    </row>
    <row r="154" spans="2:9" ht="17.399999999999999" x14ac:dyDescent="0.35">
      <c r="B154" s="8"/>
      <c r="C154" s="8"/>
      <c r="D154" s="8"/>
      <c r="E154" s="8"/>
      <c r="F154" s="8"/>
      <c r="G154" s="8"/>
      <c r="H154" s="8"/>
      <c r="I154" s="8"/>
    </row>
    <row r="155" spans="2:9" ht="17.399999999999999" x14ac:dyDescent="0.35">
      <c r="B155" s="8"/>
      <c r="C155" s="8"/>
      <c r="D155" s="8"/>
      <c r="E155" s="8"/>
      <c r="F155" s="8"/>
      <c r="G155" s="8"/>
      <c r="H155" s="8"/>
      <c r="I155" s="8"/>
    </row>
    <row r="156" spans="2:9" ht="17.399999999999999" x14ac:dyDescent="0.35">
      <c r="B156" s="8"/>
      <c r="C156" s="8"/>
      <c r="D156" s="8"/>
      <c r="E156" s="8"/>
      <c r="F156" s="8"/>
      <c r="G156" s="8"/>
      <c r="H156" s="8"/>
      <c r="I156" s="8"/>
    </row>
    <row r="157" spans="2:9" ht="17.399999999999999" x14ac:dyDescent="0.35">
      <c r="B157" s="8"/>
      <c r="C157" s="8"/>
      <c r="D157" s="8"/>
      <c r="E157" s="8"/>
      <c r="F157" s="8"/>
      <c r="G157" s="8"/>
      <c r="H157" s="8"/>
      <c r="I157" s="8"/>
    </row>
    <row r="158" spans="2:9" ht="17.399999999999999" x14ac:dyDescent="0.35">
      <c r="B158" s="8"/>
      <c r="C158" s="8"/>
      <c r="D158" s="8"/>
      <c r="E158" s="8"/>
      <c r="F158" s="8"/>
      <c r="G158" s="8"/>
      <c r="H158" s="8"/>
      <c r="I158" s="8"/>
    </row>
    <row r="159" spans="2:9" ht="17.399999999999999" x14ac:dyDescent="0.35">
      <c r="B159" s="8"/>
      <c r="C159" s="8"/>
      <c r="D159" s="8"/>
      <c r="E159" s="8"/>
      <c r="F159" s="8"/>
      <c r="G159" s="8"/>
      <c r="H159" s="8"/>
      <c r="I159" s="8"/>
    </row>
    <row r="160" spans="2:9" ht="17.399999999999999" x14ac:dyDescent="0.35">
      <c r="B160" s="8"/>
      <c r="C160" s="8"/>
      <c r="D160" s="8"/>
      <c r="E160" s="8"/>
      <c r="F160" s="8"/>
      <c r="G160" s="8"/>
      <c r="H160" s="8"/>
      <c r="I160" s="8"/>
    </row>
    <row r="161" spans="2:9" ht="17.399999999999999" x14ac:dyDescent="0.35">
      <c r="B161" s="8"/>
      <c r="C161" s="8"/>
      <c r="D161" s="8"/>
      <c r="E161" s="8"/>
      <c r="F161" s="8"/>
      <c r="G161" s="8"/>
      <c r="H161" s="8"/>
      <c r="I161" s="8"/>
    </row>
    <row r="162" spans="2:9" ht="17.399999999999999" x14ac:dyDescent="0.35">
      <c r="B162" s="8"/>
      <c r="C162" s="8"/>
      <c r="D162" s="8"/>
      <c r="E162" s="8"/>
      <c r="F162" s="8"/>
      <c r="G162" s="8"/>
      <c r="H162" s="8"/>
      <c r="I162" s="8"/>
    </row>
    <row r="163" spans="2:9" ht="17.399999999999999" x14ac:dyDescent="0.35">
      <c r="B163" s="8"/>
      <c r="C163" s="8"/>
      <c r="D163" s="8"/>
      <c r="E163" s="8"/>
      <c r="F163" s="8"/>
      <c r="G163" s="8"/>
      <c r="H163" s="8"/>
      <c r="I163" s="8"/>
    </row>
    <row r="164" spans="2:9" ht="17.399999999999999" x14ac:dyDescent="0.35">
      <c r="B164" s="8"/>
      <c r="C164" s="8"/>
      <c r="D164" s="8"/>
      <c r="E164" s="8"/>
      <c r="F164" s="8"/>
      <c r="G164" s="8"/>
      <c r="H164" s="8"/>
      <c r="I164" s="8"/>
    </row>
    <row r="165" spans="2:9" ht="17.399999999999999" x14ac:dyDescent="0.35">
      <c r="B165" s="8"/>
      <c r="C165" s="8"/>
      <c r="D165" s="8"/>
      <c r="E165" s="8"/>
      <c r="F165" s="8"/>
      <c r="G165" s="8"/>
      <c r="H165" s="8"/>
      <c r="I165" s="8"/>
    </row>
    <row r="166" spans="2:9" ht="17.399999999999999" x14ac:dyDescent="0.35">
      <c r="B166" s="8"/>
      <c r="C166" s="8"/>
      <c r="D166" s="8"/>
      <c r="E166" s="8"/>
      <c r="F166" s="8"/>
      <c r="G166" s="8"/>
      <c r="H166" s="8"/>
      <c r="I166" s="8"/>
    </row>
    <row r="167" spans="2:9" ht="17.399999999999999" x14ac:dyDescent="0.35">
      <c r="B167" s="8"/>
      <c r="C167" s="8"/>
      <c r="D167" s="8"/>
      <c r="E167" s="8"/>
      <c r="F167" s="8"/>
      <c r="G167" s="8"/>
      <c r="H167" s="8"/>
      <c r="I167" s="8"/>
    </row>
    <row r="168" spans="2:9" ht="17.399999999999999" x14ac:dyDescent="0.35">
      <c r="B168" s="8"/>
      <c r="C168" s="8"/>
      <c r="D168" s="8"/>
      <c r="E168" s="8"/>
      <c r="F168" s="8"/>
      <c r="G168" s="8"/>
      <c r="H168" s="8"/>
      <c r="I168" s="8"/>
    </row>
    <row r="169" spans="2:9" ht="17.399999999999999" x14ac:dyDescent="0.35">
      <c r="B169" s="8"/>
      <c r="C169" s="8"/>
      <c r="D169" s="8"/>
      <c r="E169" s="8"/>
      <c r="F169" s="8"/>
      <c r="G169" s="8"/>
      <c r="H169" s="8"/>
      <c r="I169" s="8"/>
    </row>
    <row r="170" spans="2:9" ht="17.399999999999999" x14ac:dyDescent="0.35">
      <c r="B170" s="8"/>
      <c r="C170" s="8"/>
      <c r="D170" s="8"/>
      <c r="E170" s="8"/>
      <c r="F170" s="8"/>
      <c r="G170" s="8"/>
      <c r="H170" s="8"/>
      <c r="I170" s="8"/>
    </row>
    <row r="171" spans="2:9" ht="17.399999999999999" x14ac:dyDescent="0.35">
      <c r="B171" s="8"/>
      <c r="C171" s="8"/>
      <c r="D171" s="8"/>
      <c r="E171" s="8"/>
      <c r="F171" s="8"/>
      <c r="G171" s="8"/>
      <c r="H171" s="8"/>
      <c r="I171" s="8"/>
    </row>
    <row r="172" spans="2:9" ht="17.399999999999999" x14ac:dyDescent="0.35">
      <c r="B172" s="8"/>
      <c r="C172" s="8"/>
      <c r="D172" s="8"/>
      <c r="E172" s="8"/>
      <c r="F172" s="8"/>
      <c r="G172" s="8"/>
      <c r="H172" s="8"/>
      <c r="I172" s="8"/>
    </row>
    <row r="173" spans="2:9" ht="17.399999999999999" x14ac:dyDescent="0.35">
      <c r="B173" s="8"/>
      <c r="C173" s="8"/>
      <c r="D173" s="8"/>
      <c r="E173" s="8"/>
      <c r="F173" s="8"/>
      <c r="G173" s="8"/>
      <c r="H173" s="8"/>
      <c r="I173" s="8"/>
    </row>
    <row r="174" spans="2:9" ht="17.399999999999999" x14ac:dyDescent="0.35">
      <c r="B174" s="8"/>
      <c r="C174" s="8"/>
      <c r="D174" s="8"/>
      <c r="E174" s="8"/>
      <c r="F174" s="8"/>
      <c r="G174" s="8"/>
      <c r="H174" s="8"/>
      <c r="I174" s="8"/>
    </row>
    <row r="175" spans="2:9" ht="17.399999999999999" x14ac:dyDescent="0.35">
      <c r="B175" s="8"/>
      <c r="C175" s="8"/>
      <c r="D175" s="8"/>
      <c r="E175" s="8"/>
      <c r="F175" s="8"/>
      <c r="G175" s="8"/>
      <c r="H175" s="8"/>
      <c r="I175" s="8"/>
    </row>
    <row r="176" spans="2:9" ht="17.399999999999999" x14ac:dyDescent="0.35">
      <c r="B176" s="8"/>
      <c r="C176" s="8"/>
      <c r="D176" s="8"/>
      <c r="E176" s="8"/>
      <c r="F176" s="8"/>
      <c r="G176" s="8"/>
      <c r="H176" s="8"/>
      <c r="I176" s="8"/>
    </row>
    <row r="177" spans="2:9" ht="17.399999999999999" x14ac:dyDescent="0.35">
      <c r="B177" s="8"/>
      <c r="C177" s="8"/>
      <c r="D177" s="8"/>
      <c r="E177" s="8"/>
      <c r="F177" s="8"/>
      <c r="G177" s="8"/>
      <c r="H177" s="8"/>
      <c r="I177" s="8"/>
    </row>
    <row r="178" spans="2:9" ht="17.399999999999999" x14ac:dyDescent="0.35">
      <c r="B178" s="8"/>
      <c r="C178" s="8"/>
      <c r="D178" s="8"/>
      <c r="E178" s="8"/>
      <c r="F178" s="8"/>
      <c r="G178" s="8"/>
      <c r="H178" s="8"/>
      <c r="I178" s="8"/>
    </row>
    <row r="179" spans="2:9" ht="17.399999999999999" x14ac:dyDescent="0.35">
      <c r="B179" s="8"/>
      <c r="C179" s="8"/>
      <c r="D179" s="8"/>
      <c r="E179" s="8"/>
      <c r="F179" s="8"/>
      <c r="G179" s="8"/>
      <c r="H179" s="8"/>
      <c r="I179" s="8"/>
    </row>
  </sheetData>
  <mergeCells count="27">
    <mergeCell ref="C21:C23"/>
    <mergeCell ref="N11:N12"/>
    <mergeCell ref="N21:N23"/>
    <mergeCell ref="N31:N33"/>
    <mergeCell ref="C31:C33"/>
    <mergeCell ref="C11:C12"/>
    <mergeCell ref="C27:C28"/>
    <mergeCell ref="E31:E33"/>
    <mergeCell ref="C39:C40"/>
    <mergeCell ref="C42:C43"/>
    <mergeCell ref="C49:C50"/>
    <mergeCell ref="C56:C57"/>
    <mergeCell ref="G62:I62"/>
    <mergeCell ref="R62:T62"/>
    <mergeCell ref="M9:N9"/>
    <mergeCell ref="G60:H60"/>
    <mergeCell ref="R60:S60"/>
    <mergeCell ref="N27:N28"/>
    <mergeCell ref="N39:N40"/>
    <mergeCell ref="N42:N43"/>
    <mergeCell ref="N49:N50"/>
    <mergeCell ref="A2:J4"/>
    <mergeCell ref="L2:U4"/>
    <mergeCell ref="A5:C5"/>
    <mergeCell ref="H5:I5"/>
    <mergeCell ref="L5:N5"/>
    <mergeCell ref="S5:T5"/>
  </mergeCells>
  <phoneticPr fontId="13" type="noConversion"/>
  <printOptions horizontalCentered="1" verticalCentered="1"/>
  <pageMargins left="0" right="0" top="0" bottom="0" header="0.31496062992125984" footer="0.31496062992125984"/>
  <pageSetup paperSize="9" scale="52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y.nassiri</dc:creator>
  <cp:lastModifiedBy>mourad ettahali elidrissi</cp:lastModifiedBy>
  <cp:lastPrinted>2024-03-25T11:36:06Z</cp:lastPrinted>
  <dcterms:created xsi:type="dcterms:W3CDTF">2012-12-04T10:02:57Z</dcterms:created>
  <dcterms:modified xsi:type="dcterms:W3CDTF">2026-05-12T20:02:27Z</dcterms:modified>
</cp:coreProperties>
</file>