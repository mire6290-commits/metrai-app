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ownloads\Metrai_structure\Metrai\01_data_raw\projet_07_NOM_AFFAIRE\"/>
    </mc:Choice>
  </mc:AlternateContent>
  <xr:revisionPtr revIDLastSave="0" documentId="13_ncr:1_{C4E29CC0-EAB0-4B64-926A-7DC4EEB46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3" l="1"/>
  <c r="T49" i="13" s="1"/>
  <c r="S47" i="13"/>
  <c r="T47" i="13" s="1"/>
  <c r="S45" i="13"/>
  <c r="T45" i="13" s="1"/>
  <c r="S43" i="13"/>
  <c r="T43" i="13" s="1"/>
  <c r="S41" i="13"/>
  <c r="T41" i="13" s="1"/>
  <c r="S39" i="13"/>
  <c r="T39" i="13" s="1"/>
  <c r="S37" i="13"/>
  <c r="T37" i="13" s="1"/>
  <c r="S35" i="13"/>
  <c r="T35" i="13" s="1"/>
  <c r="S34" i="13"/>
  <c r="T34" i="13" s="1"/>
  <c r="S29" i="13"/>
  <c r="T29" i="13" s="1"/>
  <c r="S27" i="13"/>
  <c r="T27" i="13" s="1"/>
  <c r="S26" i="13"/>
  <c r="T26" i="13" s="1"/>
  <c r="S19" i="13"/>
  <c r="T19" i="13" s="1"/>
  <c r="S17" i="13"/>
  <c r="T17" i="13" s="1"/>
  <c r="S13" i="13"/>
  <c r="T13" i="13" s="1"/>
  <c r="S11" i="13"/>
  <c r="T11" i="13" s="1"/>
  <c r="H43" i="13"/>
  <c r="I43" i="13" s="1"/>
  <c r="H47" i="13"/>
  <c r="I47" i="13" s="1"/>
  <c r="H45" i="13"/>
  <c r="I45" i="13" s="1"/>
  <c r="H41" i="13"/>
  <c r="I41" i="13" s="1"/>
  <c r="H37" i="13"/>
  <c r="I37" i="13" s="1"/>
  <c r="H17" i="13"/>
  <c r="I17" i="13" s="1"/>
  <c r="H29" i="13"/>
  <c r="I29" i="13" s="1"/>
  <c r="H30" i="13"/>
  <c r="I30" i="13" s="1"/>
  <c r="H31" i="13"/>
  <c r="I31" i="13" s="1"/>
  <c r="H39" i="13"/>
  <c r="I39" i="13" s="1"/>
  <c r="H35" i="13"/>
  <c r="I35" i="13" s="1"/>
  <c r="H34" i="13"/>
  <c r="I34" i="13" s="1"/>
  <c r="H32" i="13"/>
  <c r="I32" i="13" s="1"/>
  <c r="H27" i="13"/>
  <c r="I27" i="13" s="1"/>
  <c r="H26" i="13"/>
  <c r="I26" i="13" s="1"/>
  <c r="H24" i="13"/>
  <c r="I24" i="13" s="1"/>
  <c r="H23" i="13"/>
  <c r="I23" i="13" s="1"/>
  <c r="H22" i="13"/>
  <c r="I22" i="13" s="1"/>
  <c r="H21" i="13"/>
  <c r="I21" i="13" s="1"/>
  <c r="H20" i="13"/>
  <c r="I20" i="13" s="1"/>
  <c r="H19" i="13"/>
  <c r="I19" i="13" s="1"/>
  <c r="H15" i="13"/>
  <c r="I15" i="13" s="1"/>
  <c r="H14" i="13"/>
  <c r="I14" i="13" s="1"/>
  <c r="T51" i="13" l="1"/>
  <c r="H49" i="13"/>
  <c r="I49" i="13" s="1"/>
  <c r="H16" i="13"/>
  <c r="I16" i="13" s="1"/>
  <c r="H13" i="13"/>
  <c r="I13" i="13" s="1"/>
  <c r="H11" i="13"/>
  <c r="I11" i="13" s="1"/>
  <c r="T52" i="13" l="1"/>
  <c r="I51" i="13"/>
  <c r="I52" i="13" s="1"/>
</calcChain>
</file>

<file path=xl/sharedStrings.xml><?xml version="1.0" encoding="utf-8"?>
<sst xmlns="http://schemas.openxmlformats.org/spreadsheetml/2006/main" count="147" uniqueCount="49">
  <si>
    <t>Pos</t>
  </si>
  <si>
    <t>Quantité</t>
  </si>
  <si>
    <t>----</t>
  </si>
  <si>
    <t xml:space="preserve"> </t>
  </si>
  <si>
    <t>Poids Tot Kg</t>
  </si>
  <si>
    <t>Designation</t>
  </si>
  <si>
    <t>Long (mm)</t>
  </si>
  <si>
    <t>Poids Kg/(m)</t>
  </si>
  <si>
    <t>Poids Kg/Unt</t>
  </si>
  <si>
    <t>Nomenclatures</t>
  </si>
  <si>
    <t>BOULONNERIE + SOUDAGE</t>
  </si>
  <si>
    <t>POTEAU</t>
  </si>
  <si>
    <t>CONTREVENTEMENT</t>
  </si>
  <si>
    <t>POIDS BRUT</t>
  </si>
  <si>
    <t>1- Ossature métallique :</t>
  </si>
  <si>
    <t>Poids Tot Net en Kg</t>
  </si>
  <si>
    <t>FIXATION</t>
  </si>
  <si>
    <t>POUTRE</t>
  </si>
  <si>
    <t>L60*6</t>
  </si>
  <si>
    <t>PLATINE PIED DE POTEAU</t>
  </si>
  <si>
    <t xml:space="preserve">TIGE D'ENCRAGE  </t>
  </si>
  <si>
    <t>HEA240</t>
  </si>
  <si>
    <t>JARRET-POUTRE</t>
  </si>
  <si>
    <t>IPE240</t>
  </si>
  <si>
    <t>SABLIERE</t>
  </si>
  <si>
    <t>JARRET-SABLIERE</t>
  </si>
  <si>
    <t xml:space="preserve">PANNE </t>
  </si>
  <si>
    <t>L50*5</t>
  </si>
  <si>
    <t>CADRE PERIPHERIQUE</t>
  </si>
  <si>
    <t>TN 2000*1000*25</t>
  </si>
  <si>
    <t>PLATINE DE PR</t>
  </si>
  <si>
    <t>TN 2000*1000*10</t>
  </si>
  <si>
    <t>AFFAIRE:  STATION SERVICE PNA</t>
  </si>
  <si>
    <t>Le: 06 / 07 / 2022</t>
  </si>
  <si>
    <t>HEA140</t>
  </si>
  <si>
    <t>IPE120</t>
  </si>
  <si>
    <t>L80*8</t>
  </si>
  <si>
    <t xml:space="preserve"> LISSES ET SOUS LISSES</t>
  </si>
  <si>
    <t>UPN160</t>
  </si>
  <si>
    <t>L40*4</t>
  </si>
  <si>
    <t>TN 2000*1000*15</t>
  </si>
  <si>
    <t>PLATINE ET RAID</t>
  </si>
  <si>
    <t>GOUSSET ET ECHANTIGNOLE</t>
  </si>
  <si>
    <t>TN 2000*1000*8</t>
  </si>
  <si>
    <t>RAIDISSEUR</t>
  </si>
  <si>
    <t>TN 2000*1000*12</t>
  </si>
  <si>
    <t>ROND Ø24</t>
  </si>
  <si>
    <t>Poids Tot Brut en Kg</t>
  </si>
  <si>
    <t>POIDS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</si>
</sst>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6" fillId="0" borderId="8" xfId="0" applyFont="1" applyBorder="1"/>
    <xf numFmtId="0" fontId="0" fillId="0" borderId="9" xfId="0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2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0" xfId="0" quotePrefix="1" applyNumberFormat="1" applyFill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2" fontId="8" fillId="0" borderId="8" xfId="0" applyNumberFormat="1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2" fontId="2" fillId="3" borderId="18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2" fontId="2" fillId="0" borderId="20" xfId="0" applyNumberFormat="1" applyFont="1" applyFill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tabSelected="1" zoomScale="85" zoomScaleNormal="85" workbookViewId="0">
      <selection activeCell="T6" sqref="T6"/>
    </sheetView>
  </sheetViews>
  <sheetFormatPr baseColWidth="10" defaultRowHeight="14.4" x14ac:dyDescent="0.3"/>
  <cols>
    <col min="1" max="1" width="4.44140625" customWidth="1"/>
    <col min="2" max="2" width="5.33203125" bestFit="1" customWidth="1"/>
    <col min="3" max="3" width="31.109375" bestFit="1" customWidth="1"/>
    <col min="4" max="4" width="10.109375" bestFit="1" customWidth="1"/>
    <col min="5" max="5" width="18.88671875" customWidth="1"/>
    <col min="6" max="6" width="11.88671875" bestFit="1" customWidth="1"/>
    <col min="7" max="7" width="13.6640625" bestFit="1" customWidth="1"/>
    <col min="8" max="8" width="14.44140625" bestFit="1" customWidth="1"/>
    <col min="9" max="9" width="17" bestFit="1" customWidth="1"/>
    <col min="10" max="10" width="4.109375" customWidth="1"/>
    <col min="11" max="11" width="7.109375" customWidth="1"/>
    <col min="12" max="12" width="4.5546875" customWidth="1"/>
    <col min="13" max="13" width="5.33203125" bestFit="1" customWidth="1"/>
    <col min="14" max="14" width="31.109375" bestFit="1" customWidth="1"/>
    <col min="15" max="15" width="11.5546875" customWidth="1"/>
    <col min="16" max="16" width="18.88671875" customWidth="1"/>
    <col min="17" max="17" width="15.44140625" customWidth="1"/>
    <col min="18" max="18" width="14" customWidth="1"/>
    <col min="19" max="19" width="15.33203125" customWidth="1"/>
    <col min="20" max="20" width="15.109375" customWidth="1"/>
    <col min="21" max="21" width="4" customWidth="1"/>
  </cols>
  <sheetData>
    <row r="1" spans="1:21" ht="15" thickBot="1" x14ac:dyDescent="0.35"/>
    <row r="2" spans="1:21" ht="18" customHeight="1" thickTop="1" x14ac:dyDescent="0.3">
      <c r="A2" s="52" t="s">
        <v>32</v>
      </c>
      <c r="B2" s="53"/>
      <c r="C2" s="53"/>
      <c r="D2" s="53"/>
      <c r="E2" s="53"/>
      <c r="F2" s="53"/>
      <c r="G2" s="53"/>
      <c r="H2" s="53"/>
      <c r="I2" s="53"/>
      <c r="J2" s="54"/>
      <c r="K2" s="31"/>
      <c r="L2" s="66" t="s">
        <v>32</v>
      </c>
      <c r="M2" s="67"/>
      <c r="N2" s="67"/>
      <c r="O2" s="67"/>
      <c r="P2" s="67"/>
      <c r="Q2" s="67"/>
      <c r="R2" s="67"/>
      <c r="S2" s="67"/>
      <c r="T2" s="67"/>
      <c r="U2" s="68"/>
    </row>
    <row r="3" spans="1:21" ht="15" customHeight="1" x14ac:dyDescent="0.3">
      <c r="A3" s="55"/>
      <c r="B3" s="56"/>
      <c r="C3" s="56"/>
      <c r="D3" s="56"/>
      <c r="E3" s="56"/>
      <c r="F3" s="56"/>
      <c r="G3" s="56"/>
      <c r="H3" s="56"/>
      <c r="I3" s="56"/>
      <c r="J3" s="57"/>
      <c r="K3" s="31"/>
      <c r="L3" s="69"/>
      <c r="M3" s="70"/>
      <c r="N3" s="70"/>
      <c r="O3" s="70"/>
      <c r="P3" s="70"/>
      <c r="Q3" s="70"/>
      <c r="R3" s="70"/>
      <c r="S3" s="70"/>
      <c r="T3" s="70"/>
      <c r="U3" s="71"/>
    </row>
    <row r="4" spans="1:21" ht="9.75" customHeight="1" thickBot="1" x14ac:dyDescent="0.35">
      <c r="A4" s="55"/>
      <c r="B4" s="56"/>
      <c r="C4" s="56"/>
      <c r="D4" s="56"/>
      <c r="E4" s="56"/>
      <c r="F4" s="56"/>
      <c r="G4" s="56"/>
      <c r="H4" s="56"/>
      <c r="I4" s="56"/>
      <c r="J4" s="57"/>
      <c r="K4" s="31"/>
      <c r="L4" s="69"/>
      <c r="M4" s="70"/>
      <c r="N4" s="70"/>
      <c r="O4" s="70"/>
      <c r="P4" s="70"/>
      <c r="Q4" s="70"/>
      <c r="R4" s="70"/>
      <c r="S4" s="70"/>
      <c r="T4" s="70"/>
      <c r="U4" s="71"/>
    </row>
    <row r="5" spans="1:21" ht="18" customHeight="1" thickTop="1" x14ac:dyDescent="0.3">
      <c r="A5" s="58"/>
      <c r="B5" s="59"/>
      <c r="C5" s="59"/>
      <c r="D5" s="12"/>
      <c r="E5" s="12"/>
      <c r="F5" s="12"/>
      <c r="G5" s="12"/>
      <c r="H5" s="60" t="s">
        <v>33</v>
      </c>
      <c r="I5" s="60"/>
      <c r="J5" s="11"/>
      <c r="K5" s="30"/>
      <c r="L5" s="58"/>
      <c r="M5" s="59"/>
      <c r="N5" s="59"/>
      <c r="O5" s="12"/>
      <c r="P5" s="12"/>
      <c r="Q5" s="12"/>
      <c r="R5" s="12"/>
      <c r="S5" s="60" t="s">
        <v>33</v>
      </c>
      <c r="T5" s="60"/>
      <c r="U5" s="11"/>
    </row>
    <row r="6" spans="1:21" ht="18" customHeight="1" x14ac:dyDescent="0.3">
      <c r="A6" s="33"/>
      <c r="B6" s="34"/>
      <c r="C6" s="34"/>
      <c r="D6" s="24"/>
      <c r="F6" s="32" t="s">
        <v>48</v>
      </c>
      <c r="G6" s="3"/>
      <c r="H6" s="3"/>
      <c r="I6" s="3"/>
      <c r="J6" s="4"/>
      <c r="K6" s="3"/>
      <c r="L6" s="33"/>
      <c r="M6" s="34"/>
      <c r="N6" s="34"/>
      <c r="O6" s="24"/>
      <c r="Q6" s="32" t="s">
        <v>13</v>
      </c>
      <c r="R6" s="3"/>
      <c r="S6" s="3"/>
      <c r="T6" s="3"/>
      <c r="U6" s="4"/>
    </row>
    <row r="7" spans="1:21" ht="11.25" customHeight="1" x14ac:dyDescent="0.3">
      <c r="A7" s="28"/>
      <c r="B7" s="24"/>
      <c r="C7" s="24"/>
      <c r="D7" s="24"/>
      <c r="F7" s="32"/>
      <c r="G7" s="3"/>
      <c r="H7" s="3"/>
      <c r="I7" s="3"/>
      <c r="J7" s="4"/>
      <c r="K7" s="3"/>
      <c r="L7" s="28"/>
      <c r="M7" s="24"/>
      <c r="N7" s="24"/>
      <c r="O7" s="24"/>
      <c r="Q7" s="32"/>
      <c r="R7" s="3"/>
      <c r="S7" s="3"/>
      <c r="T7" s="3"/>
      <c r="U7" s="4"/>
    </row>
    <row r="8" spans="1:21" ht="18" customHeight="1" x14ac:dyDescent="0.3">
      <c r="A8" s="28"/>
      <c r="B8" s="24"/>
      <c r="C8" s="35" t="s">
        <v>14</v>
      </c>
      <c r="D8" s="24"/>
      <c r="F8" s="32"/>
      <c r="G8" s="3"/>
      <c r="H8" s="3"/>
      <c r="I8" s="3"/>
      <c r="J8" s="4"/>
      <c r="K8" s="3"/>
      <c r="L8" s="28"/>
      <c r="M8" s="24"/>
      <c r="N8" s="35" t="s">
        <v>14</v>
      </c>
      <c r="O8" s="24"/>
      <c r="Q8" s="32"/>
      <c r="R8" s="3"/>
      <c r="S8" s="3"/>
      <c r="T8" s="3"/>
      <c r="U8" s="4"/>
    </row>
    <row r="9" spans="1:21" ht="12" customHeight="1" thickBot="1" x14ac:dyDescent="0.35">
      <c r="A9" s="28"/>
      <c r="B9" s="36"/>
      <c r="C9" s="37"/>
      <c r="D9" s="24"/>
      <c r="E9" s="24"/>
      <c r="H9" s="24"/>
      <c r="I9" s="24"/>
      <c r="J9" s="4"/>
      <c r="K9" s="3"/>
      <c r="L9" s="28"/>
      <c r="M9" s="36"/>
      <c r="N9" s="37"/>
      <c r="O9" s="24"/>
      <c r="P9" s="24"/>
      <c r="S9" s="24"/>
      <c r="T9" s="24"/>
      <c r="U9" s="4"/>
    </row>
    <row r="10" spans="1:21" ht="16.2" thickBot="1" x14ac:dyDescent="0.35">
      <c r="A10" s="1"/>
      <c r="B10" s="41" t="s">
        <v>0</v>
      </c>
      <c r="C10" s="42" t="s">
        <v>9</v>
      </c>
      <c r="D10" s="42" t="s">
        <v>1</v>
      </c>
      <c r="E10" s="42" t="s">
        <v>5</v>
      </c>
      <c r="F10" s="43" t="s">
        <v>6</v>
      </c>
      <c r="G10" s="42" t="s">
        <v>7</v>
      </c>
      <c r="H10" s="43" t="s">
        <v>8</v>
      </c>
      <c r="I10" s="42" t="s">
        <v>4</v>
      </c>
      <c r="J10" s="2"/>
      <c r="L10" s="1"/>
      <c r="M10" s="41" t="s">
        <v>0</v>
      </c>
      <c r="N10" s="42" t="s">
        <v>9</v>
      </c>
      <c r="O10" s="42" t="s">
        <v>1</v>
      </c>
      <c r="P10" s="42" t="s">
        <v>5</v>
      </c>
      <c r="Q10" s="43" t="s">
        <v>6</v>
      </c>
      <c r="R10" s="42" t="s">
        <v>7</v>
      </c>
      <c r="S10" s="43" t="s">
        <v>8</v>
      </c>
      <c r="T10" s="42" t="s">
        <v>4</v>
      </c>
      <c r="U10" s="2"/>
    </row>
    <row r="11" spans="1:21" x14ac:dyDescent="0.3">
      <c r="A11" s="1"/>
      <c r="B11" s="17">
        <v>1</v>
      </c>
      <c r="C11" s="18" t="s">
        <v>11</v>
      </c>
      <c r="D11" s="18">
        <v>4</v>
      </c>
      <c r="E11" s="18" t="s">
        <v>21</v>
      </c>
      <c r="F11" s="18">
        <v>6000</v>
      </c>
      <c r="G11" s="18">
        <v>60.3</v>
      </c>
      <c r="H11" s="19">
        <f>+G11*F11/1000</f>
        <v>361.8</v>
      </c>
      <c r="I11" s="20">
        <f>+H11*D11</f>
        <v>1447.2</v>
      </c>
      <c r="J11" s="2"/>
      <c r="L11" s="1"/>
      <c r="M11" s="17">
        <v>1</v>
      </c>
      <c r="N11" s="18" t="s">
        <v>11</v>
      </c>
      <c r="O11" s="18">
        <v>2</v>
      </c>
      <c r="P11" s="18" t="s">
        <v>21</v>
      </c>
      <c r="Q11" s="48">
        <v>12000</v>
      </c>
      <c r="R11" s="18">
        <v>60.3</v>
      </c>
      <c r="S11" s="19">
        <f>+R11*Q11/1000</f>
        <v>723.6</v>
      </c>
      <c r="T11" s="20">
        <f>+S11*O11</f>
        <v>1447.2</v>
      </c>
      <c r="U11" s="2"/>
    </row>
    <row r="12" spans="1:21" x14ac:dyDescent="0.3">
      <c r="A12" s="1"/>
      <c r="B12" s="15">
        <v>2</v>
      </c>
      <c r="C12" s="14" t="s">
        <v>3</v>
      </c>
      <c r="D12" s="14"/>
      <c r="E12" s="14"/>
      <c r="F12" s="14"/>
      <c r="G12" s="14"/>
      <c r="H12" s="16"/>
      <c r="I12" s="21"/>
      <c r="J12" s="2"/>
      <c r="L12" s="1"/>
      <c r="M12" s="15">
        <v>2</v>
      </c>
      <c r="N12" s="14" t="s">
        <v>3</v>
      </c>
      <c r="O12" s="14"/>
      <c r="P12" s="14"/>
      <c r="Q12" s="14"/>
      <c r="R12" s="14"/>
      <c r="S12" s="16"/>
      <c r="T12" s="21"/>
      <c r="U12" s="2"/>
    </row>
    <row r="13" spans="1:21" x14ac:dyDescent="0.3">
      <c r="A13" s="1"/>
      <c r="B13" s="15">
        <v>3</v>
      </c>
      <c r="C13" s="14" t="s">
        <v>17</v>
      </c>
      <c r="D13" s="14">
        <v>4</v>
      </c>
      <c r="E13" s="14" t="s">
        <v>23</v>
      </c>
      <c r="F13" s="14">
        <v>4100</v>
      </c>
      <c r="G13" s="14">
        <v>30.7</v>
      </c>
      <c r="H13" s="16">
        <f>+G13*F13/1000</f>
        <v>125.87</v>
      </c>
      <c r="I13" s="21">
        <f>+H13*D13</f>
        <v>503.48</v>
      </c>
      <c r="J13" s="2"/>
      <c r="L13" s="1"/>
      <c r="M13" s="15">
        <v>3</v>
      </c>
      <c r="N13" s="14" t="s">
        <v>17</v>
      </c>
      <c r="O13" s="14">
        <v>2</v>
      </c>
      <c r="P13" s="14" t="s">
        <v>23</v>
      </c>
      <c r="Q13" s="49">
        <v>12000</v>
      </c>
      <c r="R13" s="14">
        <v>30.7</v>
      </c>
      <c r="S13" s="16">
        <f>+R13*Q13/1000</f>
        <v>368.4</v>
      </c>
      <c r="T13" s="21">
        <f>+S13*O13</f>
        <v>736.8</v>
      </c>
      <c r="U13" s="2"/>
    </row>
    <row r="14" spans="1:21" x14ac:dyDescent="0.3">
      <c r="A14" s="1"/>
      <c r="B14" s="15">
        <v>4</v>
      </c>
      <c r="C14" s="14" t="s">
        <v>22</v>
      </c>
      <c r="D14" s="14">
        <v>2</v>
      </c>
      <c r="E14" s="14" t="s">
        <v>23</v>
      </c>
      <c r="F14" s="14">
        <v>1024</v>
      </c>
      <c r="G14" s="14">
        <v>30.7</v>
      </c>
      <c r="H14" s="16">
        <f>+G14*F14/1000</f>
        <v>31.436799999999998</v>
      </c>
      <c r="I14" s="21">
        <f>+H14*D14</f>
        <v>62.873599999999996</v>
      </c>
      <c r="J14" s="2"/>
      <c r="L14" s="1"/>
      <c r="M14" s="15">
        <v>4</v>
      </c>
      <c r="N14" s="14" t="s">
        <v>22</v>
      </c>
      <c r="O14" s="14"/>
      <c r="P14" s="14"/>
      <c r="Q14" s="14"/>
      <c r="R14" s="14"/>
      <c r="S14" s="16"/>
      <c r="T14" s="21"/>
      <c r="U14" s="2"/>
    </row>
    <row r="15" spans="1:21" x14ac:dyDescent="0.3">
      <c r="A15" s="1"/>
      <c r="B15" s="15">
        <v>5</v>
      </c>
      <c r="C15" s="14" t="s">
        <v>17</v>
      </c>
      <c r="D15" s="14">
        <v>2</v>
      </c>
      <c r="E15" s="14" t="s">
        <v>23</v>
      </c>
      <c r="F15" s="14">
        <v>2000</v>
      </c>
      <c r="G15" s="14">
        <v>30.7</v>
      </c>
      <c r="H15" s="16">
        <f>+G15*F15/1000</f>
        <v>61.4</v>
      </c>
      <c r="I15" s="21">
        <f>+H15*D15</f>
        <v>122.8</v>
      </c>
      <c r="J15" s="2"/>
      <c r="L15" s="1"/>
      <c r="M15" s="15">
        <v>5</v>
      </c>
      <c r="N15" s="14" t="s">
        <v>17</v>
      </c>
      <c r="O15" s="14"/>
      <c r="P15" s="14"/>
      <c r="Q15" s="14"/>
      <c r="R15" s="14"/>
      <c r="S15" s="16"/>
      <c r="T15" s="21"/>
      <c r="U15" s="2"/>
    </row>
    <row r="16" spans="1:21" x14ac:dyDescent="0.3">
      <c r="A16" s="1"/>
      <c r="B16" s="15">
        <v>6</v>
      </c>
      <c r="C16" s="14" t="s">
        <v>22</v>
      </c>
      <c r="D16" s="14">
        <v>1</v>
      </c>
      <c r="E16" s="14" t="s">
        <v>23</v>
      </c>
      <c r="F16" s="14">
        <v>500</v>
      </c>
      <c r="G16" s="14">
        <v>30.7</v>
      </c>
      <c r="H16" s="16">
        <f t="shared" ref="H16" si="0">+G16*F16/1000</f>
        <v>15.35</v>
      </c>
      <c r="I16" s="21">
        <f t="shared" ref="I16" si="1">+H16*D16</f>
        <v>15.35</v>
      </c>
      <c r="J16" s="2"/>
      <c r="L16" s="1"/>
      <c r="M16" s="15">
        <v>6</v>
      </c>
      <c r="N16" s="14" t="s">
        <v>22</v>
      </c>
      <c r="O16" s="14"/>
      <c r="P16" s="14"/>
      <c r="Q16" s="14"/>
      <c r="R16" s="14"/>
      <c r="S16" s="16"/>
      <c r="T16" s="21"/>
      <c r="U16" s="2"/>
    </row>
    <row r="17" spans="1:21" x14ac:dyDescent="0.3">
      <c r="A17" s="1"/>
      <c r="B17" s="15">
        <v>7</v>
      </c>
      <c r="C17" s="14" t="s">
        <v>16</v>
      </c>
      <c r="D17" s="14">
        <v>8</v>
      </c>
      <c r="E17" s="14" t="s">
        <v>38</v>
      </c>
      <c r="F17" s="14">
        <v>1000</v>
      </c>
      <c r="G17" s="14">
        <v>18.899999999999999</v>
      </c>
      <c r="H17" s="16">
        <f t="shared" ref="H17" si="2">+G17*F17/1000</f>
        <v>18.899999999999999</v>
      </c>
      <c r="I17" s="21">
        <f t="shared" ref="I17" si="3">+H17*D17</f>
        <v>151.19999999999999</v>
      </c>
      <c r="J17" s="2"/>
      <c r="L17" s="1"/>
      <c r="M17" s="15">
        <v>7</v>
      </c>
      <c r="N17" s="14" t="s">
        <v>16</v>
      </c>
      <c r="O17" s="14">
        <v>1</v>
      </c>
      <c r="P17" s="14" t="s">
        <v>38</v>
      </c>
      <c r="Q17" s="49">
        <v>12000</v>
      </c>
      <c r="R17" s="14">
        <v>18.899999999999999</v>
      </c>
      <c r="S17" s="16">
        <f t="shared" ref="S17" si="4">+R17*Q17/1000</f>
        <v>226.79999999999998</v>
      </c>
      <c r="T17" s="21">
        <f t="shared" ref="T17" si="5">+S17*O17</f>
        <v>226.79999999999998</v>
      </c>
      <c r="U17" s="2"/>
    </row>
    <row r="18" spans="1:21" x14ac:dyDescent="0.3">
      <c r="A18" s="1"/>
      <c r="B18" s="15">
        <v>8</v>
      </c>
      <c r="C18" s="14"/>
      <c r="D18" s="14"/>
      <c r="E18" s="14"/>
      <c r="F18" s="14"/>
      <c r="G18" s="14"/>
      <c r="H18" s="16"/>
      <c r="I18" s="21"/>
      <c r="J18" s="2"/>
      <c r="L18" s="1"/>
      <c r="M18" s="15">
        <v>8</v>
      </c>
      <c r="N18" s="14"/>
      <c r="O18" s="14"/>
      <c r="P18" s="14"/>
      <c r="Q18" s="14"/>
      <c r="R18" s="14"/>
      <c r="S18" s="16"/>
      <c r="T18" s="21"/>
      <c r="U18" s="2"/>
    </row>
    <row r="19" spans="1:21" x14ac:dyDescent="0.3">
      <c r="A19" s="1"/>
      <c r="B19" s="15">
        <v>9</v>
      </c>
      <c r="C19" s="14" t="s">
        <v>24</v>
      </c>
      <c r="D19" s="14">
        <v>4</v>
      </c>
      <c r="E19" s="14" t="s">
        <v>34</v>
      </c>
      <c r="F19" s="14">
        <v>3500</v>
      </c>
      <c r="G19" s="14">
        <v>24.7</v>
      </c>
      <c r="H19" s="16">
        <f>+G19*F19/1000</f>
        <v>86.45</v>
      </c>
      <c r="I19" s="21">
        <f>+H19*D19</f>
        <v>345.8</v>
      </c>
      <c r="J19" s="2"/>
      <c r="L19" s="1"/>
      <c r="M19" s="15">
        <v>9</v>
      </c>
      <c r="N19" s="14" t="s">
        <v>24</v>
      </c>
      <c r="O19" s="14">
        <v>4</v>
      </c>
      <c r="P19" s="14" t="s">
        <v>34</v>
      </c>
      <c r="Q19" s="49">
        <v>12000</v>
      </c>
      <c r="R19" s="14">
        <v>24.7</v>
      </c>
      <c r="S19" s="16">
        <f>+R19*Q19/1000</f>
        <v>296.39999999999998</v>
      </c>
      <c r="T19" s="21">
        <f>+S19*O19</f>
        <v>1185.5999999999999</v>
      </c>
      <c r="U19" s="2"/>
    </row>
    <row r="20" spans="1:21" x14ac:dyDescent="0.3">
      <c r="A20" s="1"/>
      <c r="B20" s="15">
        <v>10</v>
      </c>
      <c r="C20" s="14" t="s">
        <v>25</v>
      </c>
      <c r="D20" s="14">
        <v>2</v>
      </c>
      <c r="E20" s="14" t="s">
        <v>34</v>
      </c>
      <c r="F20" s="14">
        <v>1000</v>
      </c>
      <c r="G20" s="14">
        <v>24.7</v>
      </c>
      <c r="H20" s="16">
        <f t="shared" ref="H20" si="6">+G20*F20/1000</f>
        <v>24.7</v>
      </c>
      <c r="I20" s="21">
        <f t="shared" ref="I20" si="7">+H20*D20</f>
        <v>49.4</v>
      </c>
      <c r="J20" s="2"/>
      <c r="L20" s="1"/>
      <c r="M20" s="15">
        <v>10</v>
      </c>
      <c r="N20" s="14" t="s">
        <v>25</v>
      </c>
      <c r="O20" s="14"/>
      <c r="P20" s="14"/>
      <c r="Q20" s="14"/>
      <c r="R20" s="14"/>
      <c r="S20" s="16"/>
      <c r="T20" s="21"/>
      <c r="U20" s="2"/>
    </row>
    <row r="21" spans="1:21" x14ac:dyDescent="0.3">
      <c r="A21" s="1"/>
      <c r="B21" s="15">
        <v>11</v>
      </c>
      <c r="C21" s="14" t="s">
        <v>24</v>
      </c>
      <c r="D21" s="14">
        <v>2</v>
      </c>
      <c r="E21" s="14" t="s">
        <v>34</v>
      </c>
      <c r="F21" s="14">
        <v>8000</v>
      </c>
      <c r="G21" s="14">
        <v>24.7</v>
      </c>
      <c r="H21" s="16">
        <f>+G21*F21/1000</f>
        <v>197.6</v>
      </c>
      <c r="I21" s="21">
        <f>+H21*D21</f>
        <v>395.2</v>
      </c>
      <c r="J21" s="2"/>
      <c r="L21" s="1"/>
      <c r="M21" s="15">
        <v>11</v>
      </c>
      <c r="N21" s="14" t="s">
        <v>24</v>
      </c>
      <c r="O21" s="14"/>
      <c r="P21" s="14"/>
      <c r="Q21" s="14"/>
      <c r="R21" s="14"/>
      <c r="S21" s="16"/>
      <c r="T21" s="21"/>
      <c r="U21" s="2"/>
    </row>
    <row r="22" spans="1:21" x14ac:dyDescent="0.3">
      <c r="A22" s="1"/>
      <c r="B22" s="15">
        <v>12</v>
      </c>
      <c r="C22" s="14" t="s">
        <v>25</v>
      </c>
      <c r="D22" s="14">
        <v>2</v>
      </c>
      <c r="E22" s="14" t="s">
        <v>34</v>
      </c>
      <c r="F22" s="14">
        <v>1515</v>
      </c>
      <c r="G22" s="14">
        <v>24.7</v>
      </c>
      <c r="H22" s="16">
        <f>+G22*F22/1000</f>
        <v>37.420499999999997</v>
      </c>
      <c r="I22" s="21">
        <f>+H22*D22</f>
        <v>74.840999999999994</v>
      </c>
      <c r="J22" s="2"/>
      <c r="L22" s="1"/>
      <c r="M22" s="15">
        <v>12</v>
      </c>
      <c r="N22" s="14" t="s">
        <v>25</v>
      </c>
      <c r="O22" s="14"/>
      <c r="P22" s="14"/>
      <c r="Q22" s="14"/>
      <c r="R22" s="14"/>
      <c r="S22" s="16"/>
      <c r="T22" s="21"/>
      <c r="U22" s="2"/>
    </row>
    <row r="23" spans="1:21" x14ac:dyDescent="0.3">
      <c r="A23" s="1"/>
      <c r="B23" s="15">
        <v>13</v>
      </c>
      <c r="C23" s="14" t="s">
        <v>24</v>
      </c>
      <c r="D23" s="14">
        <v>1</v>
      </c>
      <c r="E23" s="14" t="s">
        <v>35</v>
      </c>
      <c r="F23" s="14">
        <v>2000</v>
      </c>
      <c r="G23" s="14">
        <v>10.4</v>
      </c>
      <c r="H23" s="16">
        <f>+G23*F23/1000</f>
        <v>20.8</v>
      </c>
      <c r="I23" s="21">
        <f>+H23*D23</f>
        <v>20.8</v>
      </c>
      <c r="J23" s="2"/>
      <c r="L23" s="1"/>
      <c r="M23" s="15">
        <v>13</v>
      </c>
      <c r="N23" s="14" t="s">
        <v>24</v>
      </c>
      <c r="O23" s="14"/>
      <c r="P23" s="14"/>
      <c r="Q23" s="14"/>
      <c r="R23" s="14"/>
      <c r="S23" s="16"/>
      <c r="T23" s="21"/>
      <c r="U23" s="2"/>
    </row>
    <row r="24" spans="1:21" x14ac:dyDescent="0.3">
      <c r="A24" s="1"/>
      <c r="B24" s="15">
        <v>14</v>
      </c>
      <c r="C24" s="14" t="s">
        <v>24</v>
      </c>
      <c r="D24" s="14">
        <v>2</v>
      </c>
      <c r="E24" s="14" t="s">
        <v>35</v>
      </c>
      <c r="F24" s="14">
        <v>4100</v>
      </c>
      <c r="G24" s="14">
        <v>10.4</v>
      </c>
      <c r="H24" s="16">
        <f t="shared" ref="H24" si="8">+G24*F24/1000</f>
        <v>42.64</v>
      </c>
      <c r="I24" s="21">
        <f t="shared" ref="I24" si="9">+H24*D24</f>
        <v>85.28</v>
      </c>
      <c r="J24" s="2"/>
      <c r="L24" s="1"/>
      <c r="M24" s="15">
        <v>14</v>
      </c>
      <c r="N24" s="14" t="s">
        <v>24</v>
      </c>
      <c r="O24" s="14"/>
      <c r="P24" s="14"/>
      <c r="Q24" s="14"/>
      <c r="R24" s="14"/>
      <c r="S24" s="16"/>
      <c r="T24" s="21"/>
      <c r="U24" s="2"/>
    </row>
    <row r="25" spans="1:21" x14ac:dyDescent="0.3">
      <c r="A25" s="1"/>
      <c r="B25" s="15">
        <v>15</v>
      </c>
      <c r="C25" s="14"/>
      <c r="D25" s="14"/>
      <c r="E25" s="14"/>
      <c r="F25" s="14"/>
      <c r="G25" s="14"/>
      <c r="H25" s="16"/>
      <c r="I25" s="21"/>
      <c r="J25" s="2"/>
      <c r="L25" s="1"/>
      <c r="M25" s="15">
        <v>15</v>
      </c>
      <c r="N25" s="14"/>
      <c r="O25" s="14"/>
      <c r="P25" s="14"/>
      <c r="Q25" s="14"/>
      <c r="R25" s="14"/>
      <c r="S25" s="16"/>
      <c r="T25" s="21"/>
      <c r="U25" s="2"/>
    </row>
    <row r="26" spans="1:21" x14ac:dyDescent="0.3">
      <c r="A26" s="1"/>
      <c r="B26" s="15">
        <v>16</v>
      </c>
      <c r="C26" s="14" t="s">
        <v>26</v>
      </c>
      <c r="D26" s="14">
        <v>11</v>
      </c>
      <c r="E26" s="14" t="s">
        <v>35</v>
      </c>
      <c r="F26" s="14">
        <v>15000</v>
      </c>
      <c r="G26" s="14">
        <v>10.4</v>
      </c>
      <c r="H26" s="16">
        <f t="shared" ref="H26:H27" si="10">+G26*F26/1000</f>
        <v>156</v>
      </c>
      <c r="I26" s="21">
        <f t="shared" ref="I26" si="11">+H26*D26</f>
        <v>1716</v>
      </c>
      <c r="J26" s="2"/>
      <c r="L26" s="1"/>
      <c r="M26" s="15">
        <v>16</v>
      </c>
      <c r="N26" s="14" t="s">
        <v>26</v>
      </c>
      <c r="O26" s="14">
        <v>15</v>
      </c>
      <c r="P26" s="14" t="s">
        <v>35</v>
      </c>
      <c r="Q26" s="49">
        <v>12000</v>
      </c>
      <c r="R26" s="14">
        <v>10.4</v>
      </c>
      <c r="S26" s="16">
        <f t="shared" ref="S26:S27" si="12">+R26*Q26/1000</f>
        <v>124.8</v>
      </c>
      <c r="T26" s="21">
        <f t="shared" ref="T26" si="13">+S26*O26</f>
        <v>1872</v>
      </c>
      <c r="U26" s="2"/>
    </row>
    <row r="27" spans="1:21" x14ac:dyDescent="0.3">
      <c r="A27" s="1"/>
      <c r="B27" s="15">
        <v>17</v>
      </c>
      <c r="C27" s="14" t="s">
        <v>16</v>
      </c>
      <c r="D27" s="14">
        <v>1</v>
      </c>
      <c r="E27" s="14" t="s">
        <v>36</v>
      </c>
      <c r="F27" s="14">
        <v>6000</v>
      </c>
      <c r="G27" s="14">
        <v>9.66</v>
      </c>
      <c r="H27" s="16">
        <f t="shared" si="10"/>
        <v>57.96</v>
      </c>
      <c r="I27" s="21">
        <f>+H27*D27</f>
        <v>57.96</v>
      </c>
      <c r="J27" s="2"/>
      <c r="L27" s="1"/>
      <c r="M27" s="15">
        <v>17</v>
      </c>
      <c r="N27" s="14" t="s">
        <v>16</v>
      </c>
      <c r="O27" s="14">
        <v>1</v>
      </c>
      <c r="P27" s="14" t="s">
        <v>36</v>
      </c>
      <c r="Q27" s="49">
        <v>6000</v>
      </c>
      <c r="R27" s="14">
        <v>9.66</v>
      </c>
      <c r="S27" s="16">
        <f t="shared" si="12"/>
        <v>57.96</v>
      </c>
      <c r="T27" s="21">
        <f>+S27*O27</f>
        <v>57.96</v>
      </c>
      <c r="U27" s="2"/>
    </row>
    <row r="28" spans="1:21" x14ac:dyDescent="0.3">
      <c r="A28" s="1"/>
      <c r="B28" s="15">
        <v>18</v>
      </c>
      <c r="C28" s="14"/>
      <c r="D28" s="14"/>
      <c r="E28" s="14"/>
      <c r="F28" s="14"/>
      <c r="G28" s="14"/>
      <c r="H28" s="16"/>
      <c r="I28" s="21"/>
      <c r="J28" s="2"/>
      <c r="L28" s="1"/>
      <c r="M28" s="15">
        <v>18</v>
      </c>
      <c r="N28" s="14"/>
      <c r="O28" s="14"/>
      <c r="P28" s="14"/>
      <c r="Q28" s="14"/>
      <c r="R28" s="14"/>
      <c r="S28" s="16"/>
      <c r="T28" s="21"/>
      <c r="U28" s="2"/>
    </row>
    <row r="29" spans="1:21" x14ac:dyDescent="0.3">
      <c r="A29" s="1"/>
      <c r="B29" s="15">
        <v>19</v>
      </c>
      <c r="C29" s="63" t="s">
        <v>12</v>
      </c>
      <c r="D29" s="14">
        <v>4</v>
      </c>
      <c r="E29" s="14" t="s">
        <v>36</v>
      </c>
      <c r="F29" s="14">
        <v>5400</v>
      </c>
      <c r="G29" s="14">
        <v>9.66</v>
      </c>
      <c r="H29" s="16">
        <f t="shared" ref="H29:H31" si="14">+G29*F29/1000</f>
        <v>52.164000000000001</v>
      </c>
      <c r="I29" s="21">
        <f t="shared" ref="I29:I31" si="15">+H29*D29</f>
        <v>208.65600000000001</v>
      </c>
      <c r="J29" s="2"/>
      <c r="L29" s="1"/>
      <c r="M29" s="15">
        <v>19</v>
      </c>
      <c r="N29" s="63" t="s">
        <v>12</v>
      </c>
      <c r="O29" s="14">
        <v>10</v>
      </c>
      <c r="P29" s="14" t="s">
        <v>36</v>
      </c>
      <c r="Q29" s="49">
        <v>12000</v>
      </c>
      <c r="R29" s="14">
        <v>9.66</v>
      </c>
      <c r="S29" s="16">
        <f t="shared" ref="S29" si="16">+R29*Q29/1000</f>
        <v>115.92</v>
      </c>
      <c r="T29" s="21">
        <f t="shared" ref="T29" si="17">+S29*O29</f>
        <v>1159.2</v>
      </c>
      <c r="U29" s="2"/>
    </row>
    <row r="30" spans="1:21" x14ac:dyDescent="0.3">
      <c r="A30" s="1"/>
      <c r="B30" s="15">
        <v>20</v>
      </c>
      <c r="C30" s="64"/>
      <c r="D30" s="14">
        <v>4</v>
      </c>
      <c r="E30" s="14" t="s">
        <v>36</v>
      </c>
      <c r="F30" s="14">
        <v>4000</v>
      </c>
      <c r="G30" s="14">
        <v>9.66</v>
      </c>
      <c r="H30" s="16">
        <f t="shared" si="14"/>
        <v>38.64</v>
      </c>
      <c r="I30" s="21">
        <f t="shared" si="15"/>
        <v>154.56</v>
      </c>
      <c r="J30" s="2"/>
      <c r="L30" s="1"/>
      <c r="M30" s="15">
        <v>20</v>
      </c>
      <c r="N30" s="64"/>
      <c r="O30" s="14"/>
      <c r="P30" s="14"/>
      <c r="Q30" s="14"/>
      <c r="R30" s="14"/>
      <c r="S30" s="16"/>
      <c r="T30" s="21"/>
      <c r="U30" s="2"/>
    </row>
    <row r="31" spans="1:21" x14ac:dyDescent="0.3">
      <c r="A31" s="1"/>
      <c r="B31" s="15">
        <v>21</v>
      </c>
      <c r="C31" s="64"/>
      <c r="D31" s="14">
        <v>2</v>
      </c>
      <c r="E31" s="14" t="s">
        <v>36</v>
      </c>
      <c r="F31" s="14">
        <v>8300</v>
      </c>
      <c r="G31" s="14">
        <v>9.66</v>
      </c>
      <c r="H31" s="16">
        <f t="shared" si="14"/>
        <v>80.177999999999997</v>
      </c>
      <c r="I31" s="21">
        <f t="shared" si="15"/>
        <v>160.35599999999999</v>
      </c>
      <c r="J31" s="2"/>
      <c r="L31" s="1"/>
      <c r="M31" s="15">
        <v>21</v>
      </c>
      <c r="N31" s="64"/>
      <c r="O31" s="14"/>
      <c r="P31" s="14"/>
      <c r="Q31" s="14"/>
      <c r="R31" s="14"/>
      <c r="S31" s="16"/>
      <c r="T31" s="21"/>
      <c r="U31" s="2"/>
    </row>
    <row r="32" spans="1:21" x14ac:dyDescent="0.3">
      <c r="A32" s="1"/>
      <c r="B32" s="15">
        <v>22</v>
      </c>
      <c r="C32" s="65"/>
      <c r="D32" s="14">
        <v>4</v>
      </c>
      <c r="E32" s="14" t="s">
        <v>36</v>
      </c>
      <c r="F32" s="14">
        <v>9000</v>
      </c>
      <c r="G32" s="14">
        <v>9.66</v>
      </c>
      <c r="H32" s="16">
        <f t="shared" ref="H32" si="18">+G32*F32/1000</f>
        <v>86.94</v>
      </c>
      <c r="I32" s="21">
        <f>+H32*D32</f>
        <v>347.76</v>
      </c>
      <c r="J32" s="2"/>
      <c r="L32" s="1"/>
      <c r="M32" s="15">
        <v>22</v>
      </c>
      <c r="N32" s="65"/>
      <c r="O32" s="14"/>
      <c r="P32" s="14"/>
      <c r="Q32" s="14"/>
      <c r="R32" s="14"/>
      <c r="S32" s="16"/>
      <c r="T32" s="21"/>
      <c r="U32" s="2"/>
    </row>
    <row r="33" spans="1:21" x14ac:dyDescent="0.3">
      <c r="A33" s="1"/>
      <c r="B33" s="15">
        <v>23</v>
      </c>
      <c r="C33" s="14"/>
      <c r="D33" s="14"/>
      <c r="E33" s="14"/>
      <c r="F33" s="14"/>
      <c r="G33" s="14"/>
      <c r="H33" s="16"/>
      <c r="I33" s="21"/>
      <c r="J33" s="2"/>
      <c r="L33" s="1"/>
      <c r="M33" s="15">
        <v>23</v>
      </c>
      <c r="N33" s="14"/>
      <c r="O33" s="14"/>
      <c r="P33" s="14"/>
      <c r="Q33" s="14"/>
      <c r="R33" s="14"/>
      <c r="S33" s="16"/>
      <c r="T33" s="21"/>
      <c r="U33" s="2"/>
    </row>
    <row r="34" spans="1:21" x14ac:dyDescent="0.3">
      <c r="A34" s="1"/>
      <c r="B34" s="15">
        <v>24</v>
      </c>
      <c r="C34" s="63" t="s">
        <v>28</v>
      </c>
      <c r="D34" s="14">
        <v>11</v>
      </c>
      <c r="E34" s="14" t="s">
        <v>18</v>
      </c>
      <c r="F34" s="14">
        <v>12000</v>
      </c>
      <c r="G34" s="14">
        <v>5.42</v>
      </c>
      <c r="H34" s="16">
        <f t="shared" ref="H34:H35" si="19">+G34*F34/1000</f>
        <v>65.040000000000006</v>
      </c>
      <c r="I34" s="21">
        <f>+H34*D34</f>
        <v>715.44</v>
      </c>
      <c r="J34" s="2"/>
      <c r="L34" s="1"/>
      <c r="M34" s="15">
        <v>24</v>
      </c>
      <c r="N34" s="63" t="s">
        <v>28</v>
      </c>
      <c r="O34" s="14">
        <v>11</v>
      </c>
      <c r="P34" s="14" t="s">
        <v>18</v>
      </c>
      <c r="Q34" s="49">
        <v>12000</v>
      </c>
      <c r="R34" s="14">
        <v>5.42</v>
      </c>
      <c r="S34" s="16">
        <f t="shared" ref="S34:S35" si="20">+R34*Q34/1000</f>
        <v>65.040000000000006</v>
      </c>
      <c r="T34" s="21">
        <f>+S34*O34</f>
        <v>715.44</v>
      </c>
      <c r="U34" s="2"/>
    </row>
    <row r="35" spans="1:21" x14ac:dyDescent="0.3">
      <c r="A35" s="1"/>
      <c r="B35" s="15">
        <v>25</v>
      </c>
      <c r="C35" s="65"/>
      <c r="D35" s="14">
        <v>12</v>
      </c>
      <c r="E35" s="14" t="s">
        <v>27</v>
      </c>
      <c r="F35" s="14">
        <v>12000</v>
      </c>
      <c r="G35" s="14">
        <v>3.77</v>
      </c>
      <c r="H35" s="16">
        <f t="shared" si="19"/>
        <v>45.24</v>
      </c>
      <c r="I35" s="21">
        <f>+H35*D35</f>
        <v>542.88</v>
      </c>
      <c r="J35" s="2"/>
      <c r="L35" s="1"/>
      <c r="M35" s="15">
        <v>25</v>
      </c>
      <c r="N35" s="65"/>
      <c r="O35" s="14">
        <v>12</v>
      </c>
      <c r="P35" s="14" t="s">
        <v>27</v>
      </c>
      <c r="Q35" s="49">
        <v>12000</v>
      </c>
      <c r="R35" s="14">
        <v>3.77</v>
      </c>
      <c r="S35" s="16">
        <f t="shared" si="20"/>
        <v>45.24</v>
      </c>
      <c r="T35" s="21">
        <f>+S35*O35</f>
        <v>542.88</v>
      </c>
      <c r="U35" s="2"/>
    </row>
    <row r="36" spans="1:21" x14ac:dyDescent="0.3">
      <c r="A36" s="1"/>
      <c r="B36" s="15">
        <v>26</v>
      </c>
      <c r="C36" s="51"/>
      <c r="D36" s="14"/>
      <c r="E36" s="14"/>
      <c r="F36" s="14"/>
      <c r="G36" s="14"/>
      <c r="H36" s="16"/>
      <c r="I36" s="21"/>
      <c r="J36" s="2"/>
      <c r="L36" s="1"/>
      <c r="M36" s="15">
        <v>26</v>
      </c>
      <c r="N36" s="51"/>
      <c r="O36" s="14"/>
      <c r="P36" s="14"/>
      <c r="Q36" s="14"/>
      <c r="R36" s="14"/>
      <c r="S36" s="16"/>
      <c r="T36" s="21"/>
      <c r="U36" s="2"/>
    </row>
    <row r="37" spans="1:21" x14ac:dyDescent="0.3">
      <c r="A37" s="1"/>
      <c r="B37" s="15">
        <v>27</v>
      </c>
      <c r="C37" s="50" t="s">
        <v>37</v>
      </c>
      <c r="D37" s="14">
        <v>30</v>
      </c>
      <c r="E37" s="14" t="s">
        <v>39</v>
      </c>
      <c r="F37" s="14">
        <v>6000</v>
      </c>
      <c r="G37" s="14">
        <v>2.42</v>
      </c>
      <c r="H37" s="16">
        <f t="shared" ref="H37" si="21">+G37*F37/1000</f>
        <v>14.52</v>
      </c>
      <c r="I37" s="21">
        <f>+H37*D37</f>
        <v>435.59999999999997</v>
      </c>
      <c r="J37" s="2"/>
      <c r="L37" s="1"/>
      <c r="M37" s="15">
        <v>27</v>
      </c>
      <c r="N37" s="50" t="s">
        <v>37</v>
      </c>
      <c r="O37" s="14">
        <v>15</v>
      </c>
      <c r="P37" s="14" t="s">
        <v>39</v>
      </c>
      <c r="Q37" s="49">
        <v>12000</v>
      </c>
      <c r="R37" s="14">
        <v>2.42</v>
      </c>
      <c r="S37" s="16">
        <f t="shared" ref="S37" si="22">+R37*Q37/1000</f>
        <v>29.04</v>
      </c>
      <c r="T37" s="21">
        <f>+S37*O37</f>
        <v>435.59999999999997</v>
      </c>
      <c r="U37" s="2"/>
    </row>
    <row r="38" spans="1:21" x14ac:dyDescent="0.3">
      <c r="A38" s="1"/>
      <c r="B38" s="15">
        <v>28</v>
      </c>
      <c r="C38" s="14"/>
      <c r="D38" s="14"/>
      <c r="E38" s="14"/>
      <c r="F38" s="14"/>
      <c r="G38" s="14"/>
      <c r="H38" s="16"/>
      <c r="I38" s="21"/>
      <c r="J38" s="2"/>
      <c r="L38" s="1"/>
      <c r="M38" s="15">
        <v>28</v>
      </c>
      <c r="N38" s="14"/>
      <c r="O38" s="14"/>
      <c r="P38" s="14"/>
      <c r="Q38" s="14"/>
      <c r="R38" s="14"/>
      <c r="S38" s="16"/>
      <c r="T38" s="21"/>
      <c r="U38" s="2"/>
    </row>
    <row r="39" spans="1:21" x14ac:dyDescent="0.3">
      <c r="A39" s="1"/>
      <c r="B39" s="15">
        <v>29</v>
      </c>
      <c r="C39" s="14" t="s">
        <v>19</v>
      </c>
      <c r="D39" s="14">
        <v>1</v>
      </c>
      <c r="E39" s="14" t="s">
        <v>29</v>
      </c>
      <c r="F39" s="23" t="s">
        <v>2</v>
      </c>
      <c r="G39" s="23" t="s">
        <v>2</v>
      </c>
      <c r="H39" s="16">
        <f>2*1*8*25</f>
        <v>400</v>
      </c>
      <c r="I39" s="21">
        <f t="shared" ref="I39" si="23">+H39*D39</f>
        <v>400</v>
      </c>
      <c r="J39" s="2"/>
      <c r="L39" s="1"/>
      <c r="M39" s="15">
        <v>29</v>
      </c>
      <c r="N39" s="14" t="s">
        <v>19</v>
      </c>
      <c r="O39" s="14">
        <v>1</v>
      </c>
      <c r="P39" s="49" t="s">
        <v>29</v>
      </c>
      <c r="Q39" s="23" t="s">
        <v>2</v>
      </c>
      <c r="R39" s="23" t="s">
        <v>2</v>
      </c>
      <c r="S39" s="16">
        <f>2*1*8*25</f>
        <v>400</v>
      </c>
      <c r="T39" s="21">
        <f t="shared" ref="T39" si="24">+S39*O39</f>
        <v>400</v>
      </c>
      <c r="U39" s="2"/>
    </row>
    <row r="40" spans="1:21" x14ac:dyDescent="0.3">
      <c r="A40" s="1"/>
      <c r="B40" s="15">
        <v>30</v>
      </c>
      <c r="C40" s="14"/>
      <c r="D40" s="14"/>
      <c r="E40" s="14"/>
      <c r="F40" s="23"/>
      <c r="G40" s="23"/>
      <c r="H40" s="16"/>
      <c r="I40" s="21"/>
      <c r="J40" s="2"/>
      <c r="L40" s="1"/>
      <c r="M40" s="15">
        <v>30</v>
      </c>
      <c r="N40" s="14"/>
      <c r="O40" s="14"/>
      <c r="P40" s="14"/>
      <c r="Q40" s="23"/>
      <c r="R40" s="23"/>
      <c r="S40" s="16"/>
      <c r="T40" s="21"/>
      <c r="U40" s="2"/>
    </row>
    <row r="41" spans="1:21" x14ac:dyDescent="0.3">
      <c r="A41" s="1"/>
      <c r="B41" s="15">
        <v>31</v>
      </c>
      <c r="C41" s="14" t="s">
        <v>30</v>
      </c>
      <c r="D41" s="14">
        <v>1</v>
      </c>
      <c r="E41" s="14" t="s">
        <v>40</v>
      </c>
      <c r="F41" s="23" t="s">
        <v>2</v>
      </c>
      <c r="G41" s="23" t="s">
        <v>2</v>
      </c>
      <c r="H41" s="16">
        <f>2*1*8*15</f>
        <v>240</v>
      </c>
      <c r="I41" s="21">
        <f t="shared" ref="I41" si="25">+H41*D41</f>
        <v>240</v>
      </c>
      <c r="J41" s="2"/>
      <c r="L41" s="1"/>
      <c r="M41" s="15">
        <v>31</v>
      </c>
      <c r="N41" s="14" t="s">
        <v>30</v>
      </c>
      <c r="O41" s="14">
        <v>1</v>
      </c>
      <c r="P41" s="49" t="s">
        <v>40</v>
      </c>
      <c r="Q41" s="23" t="s">
        <v>2</v>
      </c>
      <c r="R41" s="23" t="s">
        <v>2</v>
      </c>
      <c r="S41" s="16">
        <f>2*1*8*15</f>
        <v>240</v>
      </c>
      <c r="T41" s="21">
        <f t="shared" ref="T41" si="26">+S41*O41</f>
        <v>240</v>
      </c>
      <c r="U41" s="2"/>
    </row>
    <row r="42" spans="1:21" x14ac:dyDescent="0.3">
      <c r="A42" s="1"/>
      <c r="B42" s="15">
        <v>32</v>
      </c>
      <c r="C42" s="14"/>
      <c r="D42" s="14"/>
      <c r="E42" s="14"/>
      <c r="F42" s="23"/>
      <c r="G42" s="23"/>
      <c r="H42" s="16"/>
      <c r="I42" s="21"/>
      <c r="J42" s="2"/>
      <c r="L42" s="1"/>
      <c r="M42" s="15">
        <v>32</v>
      </c>
      <c r="N42" s="14"/>
      <c r="O42" s="14"/>
      <c r="P42" s="14"/>
      <c r="Q42" s="23"/>
      <c r="R42" s="23"/>
      <c r="S42" s="16"/>
      <c r="T42" s="21"/>
      <c r="U42" s="2"/>
    </row>
    <row r="43" spans="1:21" x14ac:dyDescent="0.3">
      <c r="A43" s="1"/>
      <c r="B43" s="15">
        <v>33</v>
      </c>
      <c r="C43" s="14" t="s">
        <v>44</v>
      </c>
      <c r="D43" s="14">
        <v>1</v>
      </c>
      <c r="E43" s="14" t="s">
        <v>45</v>
      </c>
      <c r="F43" s="23" t="s">
        <v>2</v>
      </c>
      <c r="G43" s="23" t="s">
        <v>2</v>
      </c>
      <c r="H43" s="16">
        <f>2*1*8*12</f>
        <v>192</v>
      </c>
      <c r="I43" s="21">
        <f t="shared" ref="I43" si="27">+H43*D43</f>
        <v>192</v>
      </c>
      <c r="J43" s="2"/>
      <c r="L43" s="1"/>
      <c r="M43" s="15">
        <v>33</v>
      </c>
      <c r="N43" s="14" t="s">
        <v>44</v>
      </c>
      <c r="O43" s="14">
        <v>1</v>
      </c>
      <c r="P43" s="49" t="s">
        <v>45</v>
      </c>
      <c r="Q43" s="23" t="s">
        <v>2</v>
      </c>
      <c r="R43" s="23" t="s">
        <v>2</v>
      </c>
      <c r="S43" s="16">
        <f>2*1*8*12</f>
        <v>192</v>
      </c>
      <c r="T43" s="21">
        <f t="shared" ref="T43" si="28">+S43*O43</f>
        <v>192</v>
      </c>
      <c r="U43" s="2"/>
    </row>
    <row r="44" spans="1:21" x14ac:dyDescent="0.3">
      <c r="A44" s="1"/>
      <c r="B44" s="15">
        <v>34</v>
      </c>
      <c r="C44" s="14"/>
      <c r="D44" s="14"/>
      <c r="E44" s="14"/>
      <c r="F44" s="23"/>
      <c r="G44" s="23"/>
      <c r="H44" s="16"/>
      <c r="I44" s="21"/>
      <c r="J44" s="2"/>
      <c r="L44" s="1"/>
      <c r="M44" s="15">
        <v>34</v>
      </c>
      <c r="N44" s="14"/>
      <c r="O44" s="14"/>
      <c r="P44" s="14"/>
      <c r="Q44" s="23"/>
      <c r="R44" s="23"/>
      <c r="S44" s="16"/>
      <c r="T44" s="21"/>
      <c r="U44" s="2"/>
    </row>
    <row r="45" spans="1:21" x14ac:dyDescent="0.3">
      <c r="A45" s="1"/>
      <c r="B45" s="15">
        <v>35</v>
      </c>
      <c r="C45" s="14" t="s">
        <v>41</v>
      </c>
      <c r="D45" s="14">
        <v>1</v>
      </c>
      <c r="E45" s="14" t="s">
        <v>31</v>
      </c>
      <c r="F45" s="23" t="s">
        <v>2</v>
      </c>
      <c r="G45" s="23" t="s">
        <v>2</v>
      </c>
      <c r="H45" s="16">
        <f>2*1*8*10</f>
        <v>160</v>
      </c>
      <c r="I45" s="21">
        <f t="shared" ref="I45" si="29">+H45*D45</f>
        <v>160</v>
      </c>
      <c r="J45" s="2"/>
      <c r="L45" s="1"/>
      <c r="M45" s="15">
        <v>35</v>
      </c>
      <c r="N45" s="14" t="s">
        <v>41</v>
      </c>
      <c r="O45" s="14">
        <v>1</v>
      </c>
      <c r="P45" s="49" t="s">
        <v>31</v>
      </c>
      <c r="Q45" s="23" t="s">
        <v>2</v>
      </c>
      <c r="R45" s="23" t="s">
        <v>2</v>
      </c>
      <c r="S45" s="16">
        <f>2*1*8*10</f>
        <v>160</v>
      </c>
      <c r="T45" s="21">
        <f t="shared" ref="T45" si="30">+S45*O45</f>
        <v>160</v>
      </c>
      <c r="U45" s="2"/>
    </row>
    <row r="46" spans="1:21" x14ac:dyDescent="0.3">
      <c r="A46" s="1"/>
      <c r="B46" s="15">
        <v>36</v>
      </c>
      <c r="C46" s="14"/>
      <c r="D46" s="14"/>
      <c r="E46" s="14"/>
      <c r="F46" s="23"/>
      <c r="G46" s="23"/>
      <c r="H46" s="16"/>
      <c r="I46" s="21"/>
      <c r="J46" s="2"/>
      <c r="L46" s="1"/>
      <c r="M46" s="15">
        <v>36</v>
      </c>
      <c r="N46" s="14"/>
      <c r="O46" s="14"/>
      <c r="P46" s="14"/>
      <c r="Q46" s="23"/>
      <c r="R46" s="23"/>
      <c r="S46" s="16"/>
      <c r="T46" s="21"/>
      <c r="U46" s="2"/>
    </row>
    <row r="47" spans="1:21" x14ac:dyDescent="0.3">
      <c r="A47" s="1"/>
      <c r="B47" s="15">
        <v>37</v>
      </c>
      <c r="C47" s="14" t="s">
        <v>42</v>
      </c>
      <c r="D47" s="14">
        <v>3</v>
      </c>
      <c r="E47" s="14" t="s">
        <v>43</v>
      </c>
      <c r="F47" s="23" t="s">
        <v>2</v>
      </c>
      <c r="G47" s="23" t="s">
        <v>2</v>
      </c>
      <c r="H47" s="16">
        <f>2*1*8*8</f>
        <v>128</v>
      </c>
      <c r="I47" s="21">
        <f t="shared" ref="I47" si="31">+H47*D47</f>
        <v>384</v>
      </c>
      <c r="J47" s="2"/>
      <c r="L47" s="1"/>
      <c r="M47" s="15">
        <v>37</v>
      </c>
      <c r="N47" s="14" t="s">
        <v>42</v>
      </c>
      <c r="O47" s="14">
        <v>3</v>
      </c>
      <c r="P47" s="49" t="s">
        <v>43</v>
      </c>
      <c r="Q47" s="23" t="s">
        <v>2</v>
      </c>
      <c r="R47" s="23" t="s">
        <v>2</v>
      </c>
      <c r="S47" s="16">
        <f>2*1*8*8</f>
        <v>128</v>
      </c>
      <c r="T47" s="21">
        <f t="shared" ref="T47" si="32">+S47*O47</f>
        <v>384</v>
      </c>
      <c r="U47" s="2"/>
    </row>
    <row r="48" spans="1:21" x14ac:dyDescent="0.3">
      <c r="A48" s="1"/>
      <c r="B48" s="15">
        <v>38</v>
      </c>
      <c r="C48" s="14"/>
      <c r="D48" s="14"/>
      <c r="E48" s="14"/>
      <c r="F48" s="23"/>
      <c r="G48" s="23"/>
      <c r="H48" s="16"/>
      <c r="I48" s="21"/>
      <c r="J48" s="2"/>
      <c r="L48" s="1"/>
      <c r="M48" s="15">
        <v>38</v>
      </c>
      <c r="N48" s="14"/>
      <c r="O48" s="14"/>
      <c r="P48" s="14"/>
      <c r="Q48" s="23"/>
      <c r="R48" s="23"/>
      <c r="S48" s="16"/>
      <c r="T48" s="21"/>
      <c r="U48" s="2"/>
    </row>
    <row r="49" spans="1:21" x14ac:dyDescent="0.3">
      <c r="A49" s="1"/>
      <c r="B49" s="15">
        <v>39</v>
      </c>
      <c r="C49" s="14" t="s">
        <v>20</v>
      </c>
      <c r="D49" s="14">
        <v>24</v>
      </c>
      <c r="E49" s="14" t="s">
        <v>46</v>
      </c>
      <c r="F49" s="14">
        <v>500</v>
      </c>
      <c r="G49" s="14">
        <v>5.71</v>
      </c>
      <c r="H49" s="16">
        <f t="shared" ref="H49" si="33">+G49*F49/1000</f>
        <v>2.855</v>
      </c>
      <c r="I49" s="21">
        <f>+H49*D49</f>
        <v>68.52</v>
      </c>
      <c r="J49" s="2"/>
      <c r="L49" s="1"/>
      <c r="M49" s="15">
        <v>39</v>
      </c>
      <c r="N49" s="14" t="s">
        <v>20</v>
      </c>
      <c r="O49" s="14">
        <v>24</v>
      </c>
      <c r="P49" s="49" t="s">
        <v>46</v>
      </c>
      <c r="Q49" s="14">
        <v>500</v>
      </c>
      <c r="R49" s="14">
        <v>5.71</v>
      </c>
      <c r="S49" s="16">
        <f t="shared" ref="S49" si="34">+R49*Q49/1000</f>
        <v>2.855</v>
      </c>
      <c r="T49" s="21">
        <f>+S49*O49</f>
        <v>68.52</v>
      </c>
      <c r="U49" s="2"/>
    </row>
    <row r="50" spans="1:21" x14ac:dyDescent="0.3">
      <c r="A50" s="1"/>
      <c r="B50" s="15">
        <v>40</v>
      </c>
      <c r="C50" s="14"/>
      <c r="D50" s="14"/>
      <c r="E50" s="14"/>
      <c r="F50" s="14"/>
      <c r="G50" s="14"/>
      <c r="H50" s="16"/>
      <c r="I50" s="21"/>
      <c r="J50" s="2"/>
      <c r="L50" s="1"/>
      <c r="M50" s="15">
        <v>40</v>
      </c>
      <c r="N50" s="14"/>
      <c r="O50" s="14"/>
      <c r="P50" s="14"/>
      <c r="Q50" s="14"/>
      <c r="R50" s="14"/>
      <c r="S50" s="16"/>
      <c r="T50" s="21"/>
      <c r="U50" s="2"/>
    </row>
    <row r="51" spans="1:21" ht="16.2" thickBot="1" x14ac:dyDescent="0.35">
      <c r="A51" s="1"/>
      <c r="B51" s="29">
        <v>41</v>
      </c>
      <c r="C51" s="38" t="s">
        <v>10</v>
      </c>
      <c r="D51" s="26">
        <v>0.05</v>
      </c>
      <c r="E51" s="27" t="s">
        <v>2</v>
      </c>
      <c r="F51" s="27" t="s">
        <v>2</v>
      </c>
      <c r="G51" s="27" t="s">
        <v>2</v>
      </c>
      <c r="H51" s="27" t="s">
        <v>2</v>
      </c>
      <c r="I51" s="22">
        <f>SUM(I11:I50)*0.05</f>
        <v>452.89783000000011</v>
      </c>
      <c r="J51" s="2"/>
      <c r="L51" s="1"/>
      <c r="M51" s="29">
        <v>41</v>
      </c>
      <c r="N51" s="38" t="s">
        <v>10</v>
      </c>
      <c r="O51" s="26">
        <v>0.05</v>
      </c>
      <c r="P51" s="27" t="s">
        <v>2</v>
      </c>
      <c r="Q51" s="27" t="s">
        <v>2</v>
      </c>
      <c r="R51" s="27" t="s">
        <v>2</v>
      </c>
      <c r="S51" s="27" t="s">
        <v>2</v>
      </c>
      <c r="T51" s="22">
        <f>SUM(T11:T50)*0.05</f>
        <v>491.20000000000005</v>
      </c>
      <c r="U51" s="2"/>
    </row>
    <row r="52" spans="1:21" ht="16.2" thickBot="1" x14ac:dyDescent="0.35">
      <c r="A52" s="1"/>
      <c r="B52" s="9"/>
      <c r="C52" s="10"/>
      <c r="D52" s="10"/>
      <c r="E52" s="10"/>
      <c r="F52" s="13"/>
      <c r="G52" s="72" t="s">
        <v>15</v>
      </c>
      <c r="H52" s="73"/>
      <c r="I52" s="74">
        <f>SUM(I11:I51)</f>
        <v>9510.8544300000012</v>
      </c>
      <c r="J52" s="2"/>
      <c r="L52" s="1"/>
      <c r="M52" s="9"/>
      <c r="N52" s="10"/>
      <c r="O52" s="10"/>
      <c r="P52" s="10"/>
      <c r="Q52" s="13"/>
      <c r="R52" s="72" t="s">
        <v>47</v>
      </c>
      <c r="S52" s="73"/>
      <c r="T52" s="74">
        <f>SUM(T11:T51)</f>
        <v>10315.200000000001</v>
      </c>
      <c r="U52" s="2"/>
    </row>
    <row r="53" spans="1:21" ht="15.6" x14ac:dyDescent="0.3">
      <c r="A53" s="1"/>
      <c r="B53" s="9"/>
      <c r="C53" s="10"/>
      <c r="D53" s="10"/>
      <c r="E53" s="10"/>
      <c r="F53" s="13"/>
      <c r="G53" s="77"/>
      <c r="H53" s="77"/>
      <c r="I53" s="78"/>
      <c r="J53" s="2"/>
      <c r="L53" s="1"/>
      <c r="M53" s="9"/>
      <c r="N53" s="10"/>
      <c r="O53" s="10"/>
      <c r="P53" s="10"/>
      <c r="Q53" s="79"/>
      <c r="R53" s="76"/>
      <c r="S53" s="76"/>
      <c r="T53" s="78"/>
      <c r="U53" s="2"/>
    </row>
    <row r="54" spans="1:21" ht="15.6" x14ac:dyDescent="0.3">
      <c r="A54" s="1"/>
      <c r="B54" s="9"/>
      <c r="C54" s="10"/>
      <c r="D54" s="10"/>
      <c r="E54" s="10"/>
      <c r="F54" s="13"/>
      <c r="G54" s="76"/>
      <c r="H54" s="76"/>
      <c r="I54" s="75"/>
      <c r="J54" s="2"/>
      <c r="L54" s="1"/>
      <c r="M54" s="9"/>
      <c r="N54" s="10"/>
      <c r="O54" s="10"/>
      <c r="P54" s="10"/>
      <c r="Q54" s="13"/>
      <c r="R54" s="76"/>
      <c r="S54" s="76"/>
      <c r="T54" s="75"/>
      <c r="U54" s="2"/>
    </row>
    <row r="55" spans="1:21" ht="15.6" x14ac:dyDescent="0.3">
      <c r="A55" s="1"/>
      <c r="B55" s="9"/>
      <c r="C55" s="10"/>
      <c r="D55" s="10"/>
      <c r="E55" s="10"/>
      <c r="F55" s="13"/>
      <c r="G55" s="40"/>
      <c r="H55" s="40"/>
      <c r="I55" s="39"/>
      <c r="J55" s="2"/>
      <c r="L55" s="1"/>
      <c r="M55" s="9"/>
      <c r="N55" s="10"/>
      <c r="O55" s="10"/>
      <c r="P55" s="10"/>
      <c r="Q55" s="13"/>
      <c r="R55" s="40"/>
      <c r="S55" s="40"/>
      <c r="T55" s="39"/>
      <c r="U55" s="2"/>
    </row>
    <row r="56" spans="1:21" ht="18" thickBot="1" x14ac:dyDescent="0.4">
      <c r="A56" s="5"/>
      <c r="B56" s="6"/>
      <c r="C56" s="6"/>
      <c r="D56" s="25"/>
      <c r="E56" s="25"/>
      <c r="F56" s="6"/>
      <c r="G56" s="61"/>
      <c r="H56" s="62"/>
      <c r="I56" s="62"/>
      <c r="J56" s="7"/>
      <c r="L56" s="5"/>
      <c r="M56" s="6"/>
      <c r="N56" s="6"/>
      <c r="O56" s="25"/>
      <c r="P56" s="25"/>
      <c r="Q56" s="6"/>
      <c r="R56" s="61"/>
      <c r="S56" s="62"/>
      <c r="T56" s="62"/>
      <c r="U56" s="7"/>
    </row>
    <row r="57" spans="1:21" ht="15" thickTop="1" x14ac:dyDescent="0.3">
      <c r="A57" s="44"/>
      <c r="B57" s="45"/>
      <c r="C57" s="45"/>
      <c r="D57" s="45"/>
      <c r="E57" s="45"/>
      <c r="F57" s="45"/>
      <c r="G57" s="47"/>
      <c r="H57" s="46"/>
      <c r="I57" s="46"/>
      <c r="J57" s="44"/>
      <c r="L57" s="44"/>
      <c r="M57" s="45"/>
      <c r="N57" s="45"/>
      <c r="O57" s="45"/>
      <c r="P57" s="45"/>
      <c r="Q57" s="45"/>
      <c r="R57" s="47"/>
      <c r="S57" s="46"/>
      <c r="T57" s="46"/>
      <c r="U57" s="44"/>
    </row>
    <row r="58" spans="1:21" ht="17.399999999999999" x14ac:dyDescent="0.35">
      <c r="B58" s="8"/>
      <c r="C58" s="8"/>
      <c r="D58" s="8"/>
      <c r="E58" s="8"/>
      <c r="F58" s="8"/>
      <c r="G58" s="8"/>
      <c r="H58" s="8"/>
      <c r="I58" s="8"/>
    </row>
    <row r="59" spans="1:21" ht="17.399999999999999" x14ac:dyDescent="0.35">
      <c r="B59" s="8"/>
      <c r="C59" s="8"/>
      <c r="D59" s="8"/>
      <c r="E59" s="8"/>
      <c r="F59" s="8"/>
      <c r="G59" s="8"/>
      <c r="H59" s="8"/>
      <c r="I59" s="8"/>
    </row>
    <row r="60" spans="1:21" ht="17.399999999999999" x14ac:dyDescent="0.35">
      <c r="B60" s="8"/>
      <c r="C60" s="8"/>
      <c r="D60" s="8"/>
      <c r="E60" s="8"/>
      <c r="F60" s="8"/>
      <c r="G60" s="8"/>
      <c r="H60" s="8"/>
      <c r="I60" s="8"/>
    </row>
    <row r="61" spans="1:21" ht="17.399999999999999" x14ac:dyDescent="0.35">
      <c r="B61" s="8"/>
      <c r="C61" s="8"/>
      <c r="D61" s="8"/>
      <c r="E61" s="8"/>
      <c r="F61" s="8"/>
      <c r="G61" s="8"/>
      <c r="H61" s="8"/>
      <c r="I61" s="8"/>
    </row>
    <row r="62" spans="1:21" ht="17.399999999999999" x14ac:dyDescent="0.35">
      <c r="B62" s="8"/>
      <c r="C62" s="8"/>
      <c r="D62" s="8"/>
      <c r="E62" s="8"/>
      <c r="F62" s="8"/>
      <c r="G62" s="8"/>
      <c r="H62" s="8"/>
      <c r="I62" s="8"/>
    </row>
    <row r="63" spans="1:21" ht="17.399999999999999" x14ac:dyDescent="0.35">
      <c r="B63" s="8"/>
      <c r="C63" s="8"/>
      <c r="D63" s="8"/>
      <c r="E63" s="8"/>
      <c r="F63" s="8"/>
      <c r="G63" s="8"/>
      <c r="H63" s="8"/>
      <c r="I63" s="8"/>
    </row>
    <row r="64" spans="1:21" ht="17.399999999999999" x14ac:dyDescent="0.35">
      <c r="B64" s="8"/>
      <c r="C64" s="8"/>
      <c r="D64" s="8"/>
      <c r="E64" s="8"/>
      <c r="F64" s="8"/>
      <c r="G64" s="8"/>
      <c r="H64" s="8"/>
      <c r="I64" s="8"/>
    </row>
    <row r="65" spans="2:9" ht="17.399999999999999" x14ac:dyDescent="0.35">
      <c r="B65" s="8"/>
      <c r="C65" s="8"/>
      <c r="D65" s="8"/>
      <c r="E65" s="8"/>
      <c r="F65" s="8"/>
      <c r="G65" s="8"/>
      <c r="H65" s="8"/>
      <c r="I65" s="8"/>
    </row>
    <row r="66" spans="2:9" ht="17.399999999999999" x14ac:dyDescent="0.35">
      <c r="B66" s="8"/>
      <c r="C66" s="8"/>
      <c r="D66" s="8"/>
      <c r="E66" s="8"/>
      <c r="F66" s="8"/>
      <c r="G66" s="8"/>
      <c r="H66" s="8"/>
      <c r="I66" s="8"/>
    </row>
    <row r="67" spans="2:9" ht="17.399999999999999" x14ac:dyDescent="0.35">
      <c r="B67" s="8"/>
      <c r="C67" s="8"/>
      <c r="D67" s="8"/>
      <c r="E67" s="8"/>
      <c r="F67" s="8"/>
      <c r="G67" s="8"/>
      <c r="H67" s="8"/>
      <c r="I67" s="8"/>
    </row>
    <row r="68" spans="2:9" ht="17.399999999999999" x14ac:dyDescent="0.35">
      <c r="B68" s="8"/>
      <c r="C68" s="8"/>
      <c r="D68" s="8"/>
      <c r="E68" s="8"/>
      <c r="F68" s="8"/>
      <c r="G68" s="8"/>
      <c r="H68" s="8"/>
      <c r="I68" s="8"/>
    </row>
    <row r="69" spans="2:9" ht="17.399999999999999" x14ac:dyDescent="0.35">
      <c r="B69" s="8"/>
      <c r="C69" s="8"/>
      <c r="D69" s="8"/>
      <c r="E69" s="8"/>
      <c r="F69" s="8"/>
      <c r="G69" s="8"/>
      <c r="H69" s="8"/>
      <c r="I69" s="8"/>
    </row>
    <row r="70" spans="2:9" ht="17.399999999999999" x14ac:dyDescent="0.35">
      <c r="B70" s="8"/>
      <c r="C70" s="8"/>
      <c r="D70" s="8"/>
      <c r="E70" s="8"/>
      <c r="F70" s="8"/>
      <c r="G70" s="8"/>
      <c r="H70" s="8"/>
      <c r="I70" s="8"/>
    </row>
    <row r="71" spans="2:9" ht="17.399999999999999" x14ac:dyDescent="0.35">
      <c r="B71" s="8"/>
      <c r="C71" s="8"/>
      <c r="D71" s="8"/>
      <c r="E71" s="8"/>
      <c r="F71" s="8"/>
      <c r="G71" s="8"/>
      <c r="H71" s="8"/>
      <c r="I71" s="8"/>
    </row>
    <row r="72" spans="2:9" ht="17.399999999999999" x14ac:dyDescent="0.35">
      <c r="B72" s="8"/>
      <c r="C72" s="8"/>
      <c r="D72" s="8"/>
      <c r="E72" s="8"/>
      <c r="F72" s="8"/>
      <c r="G72" s="8"/>
      <c r="H72" s="8"/>
      <c r="I72" s="8"/>
    </row>
    <row r="73" spans="2:9" ht="17.399999999999999" x14ac:dyDescent="0.35">
      <c r="B73" s="8"/>
      <c r="C73" s="8"/>
      <c r="D73" s="8"/>
      <c r="E73" s="8"/>
      <c r="F73" s="8"/>
      <c r="G73" s="8"/>
      <c r="H73" s="8"/>
      <c r="I73" s="8"/>
    </row>
    <row r="74" spans="2:9" ht="17.399999999999999" x14ac:dyDescent="0.35">
      <c r="B74" s="8"/>
      <c r="C74" s="8"/>
      <c r="D74" s="8"/>
      <c r="E74" s="8"/>
      <c r="F74" s="8"/>
      <c r="G74" s="8"/>
      <c r="H74" s="8"/>
      <c r="I74" s="8"/>
    </row>
    <row r="75" spans="2:9" ht="17.399999999999999" x14ac:dyDescent="0.35">
      <c r="B75" s="8"/>
      <c r="C75" s="8"/>
      <c r="D75" s="8"/>
      <c r="E75" s="8"/>
      <c r="F75" s="8"/>
      <c r="G75" s="8"/>
      <c r="H75" s="8"/>
      <c r="I75" s="8"/>
    </row>
    <row r="76" spans="2:9" ht="17.399999999999999" x14ac:dyDescent="0.35">
      <c r="B76" s="8"/>
      <c r="C76" s="8"/>
      <c r="D76" s="8"/>
      <c r="E76" s="8"/>
      <c r="F76" s="8"/>
      <c r="G76" s="8"/>
      <c r="H76" s="8"/>
      <c r="I76" s="8"/>
    </row>
    <row r="77" spans="2:9" ht="17.399999999999999" x14ac:dyDescent="0.35">
      <c r="B77" s="8"/>
      <c r="C77" s="8"/>
      <c r="D77" s="8"/>
      <c r="E77" s="8"/>
      <c r="F77" s="8"/>
      <c r="G77" s="8"/>
      <c r="H77" s="8"/>
      <c r="I77" s="8"/>
    </row>
    <row r="78" spans="2:9" ht="17.399999999999999" x14ac:dyDescent="0.35">
      <c r="B78" s="8"/>
      <c r="C78" s="8"/>
      <c r="D78" s="8"/>
      <c r="E78" s="8"/>
      <c r="F78" s="8"/>
      <c r="G78" s="8"/>
      <c r="H78" s="8"/>
      <c r="I78" s="8"/>
    </row>
    <row r="79" spans="2:9" ht="17.399999999999999" x14ac:dyDescent="0.35">
      <c r="B79" s="8"/>
      <c r="C79" s="8"/>
      <c r="D79" s="8"/>
      <c r="E79" s="8"/>
      <c r="F79" s="8"/>
      <c r="G79" s="8"/>
      <c r="H79" s="8"/>
      <c r="I79" s="8"/>
    </row>
    <row r="80" spans="2:9" ht="17.399999999999999" x14ac:dyDescent="0.35">
      <c r="B80" s="8"/>
      <c r="C80" s="8"/>
      <c r="D80" s="8"/>
      <c r="E80" s="8"/>
      <c r="F80" s="8"/>
      <c r="G80" s="8"/>
      <c r="H80" s="8"/>
      <c r="I80" s="8"/>
    </row>
    <row r="81" spans="2:9" ht="17.399999999999999" x14ac:dyDescent="0.35">
      <c r="B81" s="8"/>
      <c r="C81" s="8"/>
      <c r="D81" s="8"/>
      <c r="E81" s="8"/>
      <c r="F81" s="8"/>
      <c r="G81" s="8"/>
      <c r="H81" s="8"/>
      <c r="I81" s="8"/>
    </row>
    <row r="82" spans="2:9" ht="17.399999999999999" x14ac:dyDescent="0.35">
      <c r="B82" s="8"/>
      <c r="C82" s="8"/>
      <c r="D82" s="8"/>
      <c r="E82" s="8"/>
      <c r="F82" s="8"/>
      <c r="G82" s="8"/>
      <c r="H82" s="8"/>
      <c r="I82" s="8"/>
    </row>
    <row r="83" spans="2:9" ht="17.399999999999999" x14ac:dyDescent="0.35">
      <c r="B83" s="8"/>
      <c r="C83" s="8"/>
      <c r="D83" s="8"/>
      <c r="E83" s="8"/>
      <c r="F83" s="8"/>
      <c r="G83" s="8"/>
      <c r="H83" s="8"/>
      <c r="I83" s="8"/>
    </row>
    <row r="84" spans="2:9" ht="17.399999999999999" x14ac:dyDescent="0.35">
      <c r="B84" s="8"/>
      <c r="C84" s="8"/>
      <c r="D84" s="8"/>
      <c r="E84" s="8"/>
      <c r="F84" s="8"/>
      <c r="G84" s="8"/>
      <c r="H84" s="8"/>
      <c r="I84" s="8"/>
    </row>
    <row r="85" spans="2:9" ht="17.399999999999999" x14ac:dyDescent="0.35">
      <c r="B85" s="8"/>
      <c r="C85" s="8"/>
      <c r="D85" s="8"/>
      <c r="E85" s="8"/>
      <c r="F85" s="8"/>
      <c r="G85" s="8"/>
      <c r="H85" s="8"/>
      <c r="I85" s="8"/>
    </row>
    <row r="86" spans="2:9" ht="17.399999999999999" x14ac:dyDescent="0.35">
      <c r="B86" s="8"/>
      <c r="C86" s="8"/>
      <c r="D86" s="8"/>
      <c r="E86" s="8"/>
      <c r="F86" s="8"/>
      <c r="G86" s="8"/>
      <c r="H86" s="8"/>
      <c r="I86" s="8"/>
    </row>
    <row r="87" spans="2:9" ht="17.399999999999999" x14ac:dyDescent="0.35">
      <c r="B87" s="8"/>
      <c r="C87" s="8"/>
      <c r="D87" s="8"/>
      <c r="E87" s="8"/>
      <c r="F87" s="8"/>
      <c r="G87" s="8"/>
      <c r="H87" s="8"/>
      <c r="I87" s="8"/>
    </row>
    <row r="88" spans="2:9" ht="17.399999999999999" x14ac:dyDescent="0.35">
      <c r="B88" s="8"/>
      <c r="C88" s="8"/>
      <c r="D88" s="8"/>
      <c r="E88" s="8"/>
      <c r="F88" s="8"/>
      <c r="G88" s="8"/>
      <c r="H88" s="8"/>
      <c r="I88" s="8"/>
    </row>
    <row r="89" spans="2:9" ht="17.399999999999999" x14ac:dyDescent="0.35">
      <c r="B89" s="8"/>
      <c r="C89" s="8"/>
      <c r="D89" s="8"/>
      <c r="E89" s="8"/>
      <c r="F89" s="8"/>
      <c r="G89" s="8"/>
      <c r="H89" s="8"/>
      <c r="I89" s="8"/>
    </row>
    <row r="90" spans="2:9" ht="17.399999999999999" x14ac:dyDescent="0.35">
      <c r="B90" s="8"/>
      <c r="C90" s="8"/>
      <c r="D90" s="8"/>
      <c r="E90" s="8"/>
      <c r="F90" s="8"/>
      <c r="G90" s="8"/>
      <c r="H90" s="8"/>
      <c r="I90" s="8"/>
    </row>
    <row r="91" spans="2:9" ht="17.399999999999999" x14ac:dyDescent="0.35">
      <c r="B91" s="8"/>
      <c r="C91" s="8"/>
      <c r="D91" s="8"/>
      <c r="E91" s="8"/>
      <c r="F91" s="8"/>
      <c r="G91" s="8"/>
      <c r="H91" s="8"/>
      <c r="I91" s="8"/>
    </row>
    <row r="92" spans="2:9" ht="17.399999999999999" x14ac:dyDescent="0.35">
      <c r="B92" s="8"/>
      <c r="C92" s="8"/>
      <c r="D92" s="8"/>
      <c r="E92" s="8"/>
      <c r="F92" s="8"/>
      <c r="G92" s="8"/>
      <c r="H92" s="8"/>
      <c r="I92" s="8"/>
    </row>
    <row r="93" spans="2:9" ht="17.399999999999999" x14ac:dyDescent="0.35">
      <c r="B93" s="8"/>
      <c r="C93" s="8"/>
      <c r="D93" s="8"/>
      <c r="E93" s="8"/>
      <c r="F93" s="8"/>
      <c r="G93" s="8"/>
      <c r="H93" s="8"/>
      <c r="I93" s="8"/>
    </row>
    <row r="94" spans="2:9" ht="17.399999999999999" x14ac:dyDescent="0.35">
      <c r="B94" s="8"/>
      <c r="C94" s="8"/>
      <c r="D94" s="8"/>
      <c r="E94" s="8"/>
      <c r="F94" s="8"/>
      <c r="G94" s="8"/>
      <c r="H94" s="8"/>
      <c r="I94" s="8"/>
    </row>
    <row r="95" spans="2:9" ht="17.399999999999999" x14ac:dyDescent="0.35">
      <c r="B95" s="8"/>
      <c r="C95" s="8"/>
      <c r="D95" s="8"/>
      <c r="E95" s="8"/>
      <c r="F95" s="8"/>
      <c r="G95" s="8"/>
      <c r="H95" s="8"/>
      <c r="I95" s="8"/>
    </row>
    <row r="96" spans="2:9" ht="17.399999999999999" x14ac:dyDescent="0.35">
      <c r="B96" s="8"/>
      <c r="C96" s="8"/>
      <c r="D96" s="8"/>
      <c r="E96" s="8"/>
      <c r="F96" s="8"/>
      <c r="G96" s="8"/>
      <c r="H96" s="8"/>
      <c r="I96" s="8"/>
    </row>
    <row r="97" spans="2:9" ht="17.399999999999999" x14ac:dyDescent="0.35">
      <c r="B97" s="8"/>
      <c r="C97" s="8"/>
      <c r="D97" s="8"/>
      <c r="E97" s="8"/>
      <c r="F97" s="8"/>
      <c r="G97" s="8"/>
      <c r="H97" s="8"/>
      <c r="I97" s="8"/>
    </row>
    <row r="98" spans="2:9" ht="17.399999999999999" x14ac:dyDescent="0.35">
      <c r="B98" s="8"/>
      <c r="C98" s="8"/>
      <c r="D98" s="8"/>
      <c r="E98" s="8"/>
      <c r="F98" s="8"/>
      <c r="G98" s="8"/>
      <c r="H98" s="8"/>
      <c r="I98" s="8"/>
    </row>
    <row r="99" spans="2:9" ht="17.399999999999999" x14ac:dyDescent="0.35">
      <c r="B99" s="8"/>
      <c r="C99" s="8"/>
      <c r="D99" s="8"/>
      <c r="E99" s="8"/>
      <c r="F99" s="8"/>
      <c r="G99" s="8"/>
      <c r="H99" s="8"/>
      <c r="I99" s="8"/>
    </row>
    <row r="100" spans="2:9" ht="17.399999999999999" x14ac:dyDescent="0.35">
      <c r="B100" s="8"/>
      <c r="C100" s="8"/>
      <c r="D100" s="8"/>
      <c r="E100" s="8"/>
      <c r="F100" s="8"/>
      <c r="G100" s="8"/>
      <c r="H100" s="8"/>
      <c r="I100" s="8"/>
    </row>
    <row r="101" spans="2:9" ht="17.399999999999999" x14ac:dyDescent="0.35">
      <c r="B101" s="8"/>
      <c r="C101" s="8"/>
      <c r="D101" s="8"/>
      <c r="E101" s="8"/>
      <c r="F101" s="8"/>
      <c r="G101" s="8"/>
      <c r="H101" s="8"/>
      <c r="I101" s="8"/>
    </row>
    <row r="102" spans="2:9" ht="17.399999999999999" x14ac:dyDescent="0.35">
      <c r="B102" s="8"/>
      <c r="C102" s="8"/>
      <c r="D102" s="8"/>
      <c r="E102" s="8"/>
      <c r="F102" s="8"/>
      <c r="G102" s="8"/>
      <c r="H102" s="8"/>
      <c r="I102" s="8"/>
    </row>
    <row r="103" spans="2:9" ht="17.399999999999999" x14ac:dyDescent="0.35">
      <c r="B103" s="8"/>
      <c r="C103" s="8"/>
      <c r="D103" s="8"/>
      <c r="E103" s="8"/>
      <c r="F103" s="8"/>
      <c r="G103" s="8"/>
      <c r="H103" s="8"/>
      <c r="I103" s="8"/>
    </row>
    <row r="104" spans="2:9" ht="17.399999999999999" x14ac:dyDescent="0.35">
      <c r="B104" s="8"/>
      <c r="C104" s="8"/>
      <c r="D104" s="8"/>
      <c r="E104" s="8"/>
      <c r="F104" s="8"/>
      <c r="G104" s="8"/>
      <c r="H104" s="8"/>
      <c r="I104" s="8"/>
    </row>
    <row r="105" spans="2:9" ht="17.399999999999999" x14ac:dyDescent="0.35">
      <c r="B105" s="8"/>
      <c r="C105" s="8"/>
      <c r="D105" s="8"/>
      <c r="E105" s="8"/>
      <c r="F105" s="8"/>
      <c r="G105" s="8"/>
      <c r="H105" s="8"/>
      <c r="I105" s="8"/>
    </row>
    <row r="106" spans="2:9" ht="17.399999999999999" x14ac:dyDescent="0.35">
      <c r="B106" s="8"/>
      <c r="C106" s="8"/>
      <c r="D106" s="8"/>
      <c r="E106" s="8"/>
      <c r="F106" s="8"/>
      <c r="G106" s="8"/>
      <c r="H106" s="8"/>
      <c r="I106" s="8"/>
    </row>
    <row r="107" spans="2:9" ht="17.399999999999999" x14ac:dyDescent="0.35">
      <c r="B107" s="8"/>
      <c r="C107" s="8"/>
      <c r="D107" s="8"/>
      <c r="E107" s="8"/>
      <c r="F107" s="8"/>
      <c r="G107" s="8"/>
      <c r="H107" s="8"/>
      <c r="I107" s="8"/>
    </row>
    <row r="108" spans="2:9" ht="17.399999999999999" x14ac:dyDescent="0.35">
      <c r="B108" s="8"/>
      <c r="C108" s="8"/>
      <c r="D108" s="8"/>
      <c r="E108" s="8"/>
      <c r="F108" s="8"/>
      <c r="G108" s="8"/>
      <c r="H108" s="8"/>
      <c r="I108" s="8"/>
    </row>
    <row r="109" spans="2:9" ht="17.399999999999999" x14ac:dyDescent="0.35">
      <c r="B109" s="8"/>
      <c r="C109" s="8"/>
      <c r="D109" s="8"/>
      <c r="E109" s="8"/>
      <c r="F109" s="8"/>
      <c r="G109" s="8"/>
      <c r="H109" s="8"/>
      <c r="I109" s="8"/>
    </row>
    <row r="110" spans="2:9" ht="17.399999999999999" x14ac:dyDescent="0.35">
      <c r="B110" s="8"/>
      <c r="C110" s="8"/>
      <c r="D110" s="8"/>
      <c r="E110" s="8"/>
      <c r="F110" s="8"/>
      <c r="G110" s="8"/>
      <c r="H110" s="8"/>
      <c r="I110" s="8"/>
    </row>
    <row r="111" spans="2:9" ht="17.399999999999999" x14ac:dyDescent="0.35">
      <c r="B111" s="8"/>
      <c r="C111" s="8"/>
      <c r="D111" s="8"/>
      <c r="E111" s="8"/>
      <c r="F111" s="8"/>
      <c r="G111" s="8"/>
      <c r="H111" s="8"/>
      <c r="I111" s="8"/>
    </row>
    <row r="112" spans="2:9" ht="17.399999999999999" x14ac:dyDescent="0.35">
      <c r="B112" s="8"/>
      <c r="C112" s="8"/>
      <c r="D112" s="8"/>
      <c r="E112" s="8"/>
      <c r="F112" s="8"/>
      <c r="G112" s="8"/>
      <c r="H112" s="8"/>
      <c r="I112" s="8"/>
    </row>
    <row r="113" spans="2:9" ht="17.399999999999999" x14ac:dyDescent="0.35">
      <c r="B113" s="8"/>
      <c r="C113" s="8"/>
      <c r="D113" s="8"/>
      <c r="E113" s="8"/>
      <c r="F113" s="8"/>
      <c r="G113" s="8"/>
      <c r="H113" s="8"/>
      <c r="I113" s="8"/>
    </row>
    <row r="114" spans="2:9" ht="17.399999999999999" x14ac:dyDescent="0.35">
      <c r="B114" s="8"/>
      <c r="C114" s="8"/>
      <c r="D114" s="8"/>
      <c r="E114" s="8"/>
      <c r="F114" s="8"/>
      <c r="G114" s="8"/>
      <c r="H114" s="8"/>
      <c r="I114" s="8"/>
    </row>
    <row r="115" spans="2:9" ht="17.399999999999999" x14ac:dyDescent="0.35">
      <c r="B115" s="8"/>
      <c r="C115" s="8"/>
      <c r="D115" s="8"/>
      <c r="E115" s="8"/>
      <c r="F115" s="8"/>
      <c r="G115" s="8"/>
      <c r="H115" s="8"/>
      <c r="I115" s="8"/>
    </row>
    <row r="116" spans="2:9" ht="17.399999999999999" x14ac:dyDescent="0.35">
      <c r="B116" s="8"/>
      <c r="C116" s="8"/>
      <c r="D116" s="8"/>
      <c r="E116" s="8"/>
      <c r="F116" s="8"/>
      <c r="G116" s="8"/>
      <c r="H116" s="8"/>
      <c r="I116" s="8"/>
    </row>
    <row r="117" spans="2:9" ht="17.399999999999999" x14ac:dyDescent="0.35">
      <c r="B117" s="8"/>
      <c r="C117" s="8"/>
      <c r="D117" s="8"/>
      <c r="E117" s="8"/>
      <c r="F117" s="8"/>
      <c r="G117" s="8"/>
      <c r="H117" s="8"/>
      <c r="I117" s="8"/>
    </row>
    <row r="118" spans="2:9" ht="17.399999999999999" x14ac:dyDescent="0.35">
      <c r="B118" s="8"/>
      <c r="C118" s="8"/>
      <c r="D118" s="8"/>
      <c r="E118" s="8"/>
      <c r="F118" s="8"/>
      <c r="G118" s="8"/>
      <c r="H118" s="8"/>
      <c r="I118" s="8"/>
    </row>
    <row r="119" spans="2:9" ht="17.399999999999999" x14ac:dyDescent="0.35">
      <c r="B119" s="8"/>
      <c r="C119" s="8"/>
      <c r="D119" s="8"/>
      <c r="E119" s="8"/>
      <c r="F119" s="8"/>
      <c r="G119" s="8"/>
      <c r="H119" s="8"/>
      <c r="I119" s="8"/>
    </row>
    <row r="120" spans="2:9" ht="17.399999999999999" x14ac:dyDescent="0.35">
      <c r="B120" s="8"/>
      <c r="C120" s="8"/>
      <c r="D120" s="8"/>
      <c r="E120" s="8"/>
      <c r="F120" s="8"/>
      <c r="G120" s="8"/>
      <c r="H120" s="8"/>
      <c r="I120" s="8"/>
    </row>
    <row r="121" spans="2:9" ht="17.399999999999999" x14ac:dyDescent="0.35">
      <c r="B121" s="8"/>
      <c r="C121" s="8"/>
      <c r="D121" s="8"/>
      <c r="E121" s="8"/>
      <c r="F121" s="8"/>
      <c r="G121" s="8"/>
      <c r="H121" s="8"/>
      <c r="I121" s="8"/>
    </row>
    <row r="122" spans="2:9" ht="17.399999999999999" x14ac:dyDescent="0.35">
      <c r="B122" s="8"/>
      <c r="C122" s="8"/>
      <c r="D122" s="8"/>
      <c r="E122" s="8"/>
      <c r="F122" s="8"/>
      <c r="G122" s="8"/>
      <c r="H122" s="8"/>
      <c r="I122" s="8"/>
    </row>
    <row r="123" spans="2:9" ht="17.399999999999999" x14ac:dyDescent="0.35">
      <c r="B123" s="8"/>
      <c r="C123" s="8"/>
      <c r="D123" s="8"/>
      <c r="E123" s="8"/>
      <c r="F123" s="8"/>
      <c r="G123" s="8"/>
      <c r="H123" s="8"/>
      <c r="I123" s="8"/>
    </row>
    <row r="124" spans="2:9" ht="17.399999999999999" x14ac:dyDescent="0.35">
      <c r="B124" s="8"/>
      <c r="C124" s="8"/>
      <c r="D124" s="8"/>
      <c r="E124" s="8"/>
      <c r="F124" s="8"/>
      <c r="G124" s="8"/>
      <c r="H124" s="8"/>
      <c r="I124" s="8"/>
    </row>
    <row r="125" spans="2:9" ht="17.399999999999999" x14ac:dyDescent="0.35">
      <c r="B125" s="8"/>
      <c r="C125" s="8"/>
      <c r="D125" s="8"/>
      <c r="E125" s="8"/>
      <c r="F125" s="8"/>
      <c r="G125" s="8"/>
      <c r="H125" s="8"/>
      <c r="I125" s="8"/>
    </row>
    <row r="126" spans="2:9" ht="17.399999999999999" x14ac:dyDescent="0.35">
      <c r="B126" s="8"/>
      <c r="C126" s="8"/>
      <c r="D126" s="8"/>
      <c r="E126" s="8"/>
      <c r="F126" s="8"/>
      <c r="G126" s="8"/>
      <c r="H126" s="8"/>
      <c r="I126" s="8"/>
    </row>
    <row r="127" spans="2:9" ht="17.399999999999999" x14ac:dyDescent="0.35">
      <c r="B127" s="8"/>
      <c r="C127" s="8"/>
      <c r="D127" s="8"/>
      <c r="E127" s="8"/>
      <c r="F127" s="8"/>
      <c r="G127" s="8"/>
      <c r="H127" s="8"/>
      <c r="I127" s="8"/>
    </row>
    <row r="128" spans="2:9" ht="17.399999999999999" x14ac:dyDescent="0.35">
      <c r="B128" s="8"/>
      <c r="C128" s="8"/>
      <c r="D128" s="8"/>
      <c r="E128" s="8"/>
      <c r="F128" s="8"/>
      <c r="G128" s="8"/>
      <c r="H128" s="8"/>
      <c r="I128" s="8"/>
    </row>
    <row r="129" spans="2:9" ht="17.399999999999999" x14ac:dyDescent="0.35">
      <c r="B129" s="8"/>
      <c r="C129" s="8"/>
      <c r="D129" s="8"/>
      <c r="E129" s="8"/>
      <c r="F129" s="8"/>
      <c r="G129" s="8"/>
      <c r="H129" s="8"/>
      <c r="I129" s="8"/>
    </row>
    <row r="130" spans="2:9" ht="17.399999999999999" x14ac:dyDescent="0.35">
      <c r="B130" s="8"/>
      <c r="C130" s="8"/>
      <c r="D130" s="8"/>
      <c r="E130" s="8"/>
      <c r="F130" s="8"/>
      <c r="G130" s="8"/>
      <c r="H130" s="8"/>
      <c r="I130" s="8"/>
    </row>
    <row r="131" spans="2:9" ht="17.399999999999999" x14ac:dyDescent="0.35">
      <c r="B131" s="8"/>
      <c r="C131" s="8"/>
      <c r="D131" s="8"/>
      <c r="E131" s="8"/>
      <c r="F131" s="8"/>
      <c r="G131" s="8"/>
      <c r="H131" s="8"/>
      <c r="I131" s="8"/>
    </row>
    <row r="132" spans="2:9" ht="17.399999999999999" x14ac:dyDescent="0.35">
      <c r="B132" s="8"/>
      <c r="C132" s="8"/>
      <c r="D132" s="8"/>
      <c r="E132" s="8"/>
      <c r="F132" s="8"/>
      <c r="G132" s="8"/>
      <c r="H132" s="8"/>
      <c r="I132" s="8"/>
    </row>
    <row r="133" spans="2:9" ht="17.399999999999999" x14ac:dyDescent="0.35">
      <c r="B133" s="8"/>
      <c r="C133" s="8"/>
      <c r="D133" s="8"/>
      <c r="E133" s="8"/>
      <c r="F133" s="8"/>
      <c r="G133" s="8"/>
      <c r="H133" s="8"/>
      <c r="I133" s="8"/>
    </row>
  </sheetData>
  <mergeCells count="18">
    <mergeCell ref="R52:S52"/>
    <mergeCell ref="R53:S53"/>
    <mergeCell ref="R54:S54"/>
    <mergeCell ref="R56:T56"/>
    <mergeCell ref="C29:C32"/>
    <mergeCell ref="N29:N32"/>
    <mergeCell ref="G52:H52"/>
    <mergeCell ref="G53:H53"/>
    <mergeCell ref="G54:H54"/>
    <mergeCell ref="G56:I56"/>
    <mergeCell ref="C34:C35"/>
    <mergeCell ref="N34:N35"/>
    <mergeCell ref="A2:J4"/>
    <mergeCell ref="L2:U4"/>
    <mergeCell ref="A5:C5"/>
    <mergeCell ref="H5:I5"/>
    <mergeCell ref="L5:N5"/>
    <mergeCell ref="S5:T5"/>
  </mergeCells>
  <phoneticPr fontId="11" type="noConversion"/>
  <printOptions horizontalCentered="1" verticalCentered="1"/>
  <pageMargins left="0" right="0" top="0" bottom="0" header="0.31496062992125984" footer="0.31496062992125984"/>
  <pageSetup paperSize="9" scale="73" orientation="portrait" r:id="rId1"/>
  <rowBreaks count="1" manualBreakCount="1">
    <brk id="56" max="16383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y.nassiri</dc:creator>
  <cp:lastModifiedBy>mourad ettahali elidrissi</cp:lastModifiedBy>
  <cp:lastPrinted>2022-07-06T16:00:48Z</cp:lastPrinted>
  <dcterms:created xsi:type="dcterms:W3CDTF">2012-12-04T10:02:57Z</dcterms:created>
  <dcterms:modified xsi:type="dcterms:W3CDTF">2026-05-12T19:57:05Z</dcterms:modified>
</cp:coreProperties>
</file>