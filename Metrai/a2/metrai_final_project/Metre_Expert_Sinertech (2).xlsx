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e_Expert" sheetId="1" r:id="rId1"/>
  </sheets>
  <calcPr calcId="124519" fullCalcOnLoad="1"/>
</workbook>
</file>

<file path=xl/sharedStrings.xml><?xml version="1.0" encoding="utf-8"?>
<sst xmlns="http://schemas.openxmlformats.org/spreadsheetml/2006/main" count="47" uniqueCount="27">
  <si>
    <t>Pos</t>
  </si>
  <si>
    <t>Nomenclatures</t>
  </si>
  <si>
    <t>Quantite</t>
  </si>
  <si>
    <t>Designation</t>
  </si>
  <si>
    <t>Long</t>
  </si>
  <si>
    <t>Poids_m</t>
  </si>
  <si>
    <t>POTEAU</t>
  </si>
  <si>
    <t>POUTRE</t>
  </si>
  <si>
    <t>CVT/LISSE</t>
  </si>
  <si>
    <t>LIERNE</t>
  </si>
  <si>
    <t>PORTIQUE</t>
  </si>
  <si>
    <t>EPI</t>
  </si>
  <si>
    <t>IPE500</t>
  </si>
  <si>
    <t>IPE270</t>
  </si>
  <si>
    <t>IPE450</t>
  </si>
  <si>
    <t>L60*60*6</t>
  </si>
  <si>
    <t>LierneØ12</t>
  </si>
  <si>
    <t>AFFAIRE: USINE TRUST (MÉTRÉ AUTOMATISÉ IA)</t>
  </si>
  <si>
    <t>- SINERTECH -</t>
  </si>
  <si>
    <t>Le: 30 / 04 / 2026</t>
  </si>
  <si>
    <t>1- Ossature métallique :</t>
  </si>
  <si>
    <t>Quantité</t>
  </si>
  <si>
    <t>Long (mm)</t>
  </si>
  <si>
    <t>Poids Kg/(m)</t>
  </si>
  <si>
    <t>Poids Kg/Unt</t>
  </si>
  <si>
    <t>Poids Tot Kg</t>
  </si>
  <si>
    <t>Poids Tot Net en Kg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</si>
</sst>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59E0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3" fillId="3" borderId="0" xfId="0" applyFont="1" applyFill="1"/>
    <xf numFmtId="0" fontId="4" fillId="4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4" borderId="0" xfId="0" applyFont="1" applyFill="1"/>
    <xf numFmtId="164" fontId="2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25"/>
  <sheetViews>
    <sheetView tabSelected="1" workbookViewId="0"/>
  </sheetViews>
  <sheetFormatPr defaultRowHeight="15"/>
  <cols>
    <col min="2" max="2" width="30.7109375" customWidth="1"/>
    <col min="4" max="4" width="25.7109375" customWidth="1"/>
    <col min="5" max="8" width="15.7109375" customWidth="1"/>
  </cols>
  <sheetData>
    <row r="2" spans="1:8">
      <c r="A2" s="1" t="s">
        <v>17</v>
      </c>
      <c r="B2" s="1"/>
      <c r="C2" s="1"/>
      <c r="D2" s="1"/>
      <c r="E2" s="1"/>
      <c r="F2" s="1"/>
      <c r="G2" s="1"/>
      <c r="H2" s="1"/>
    </row>
    <row r="5" spans="1:8">
      <c r="A5" s="2" t="s">
        <v>18</v>
      </c>
      <c r="G5" s="3" t="s">
        <v>19</v>
      </c>
    </row>
    <row r="8" spans="1:8">
      <c r="A8" s="4" t="s">
        <v>20</v>
      </c>
    </row>
    <row r="10" spans="1:8">
      <c r="A10" s="5" t="s">
        <v>0</v>
      </c>
      <c r="B10" s="5" t="s">
        <v>1</v>
      </c>
      <c r="C10" s="5" t="s">
        <v>21</v>
      </c>
      <c r="D10" s="5" t="s">
        <v>3</v>
      </c>
      <c r="E10" s="5" t="s">
        <v>22</v>
      </c>
      <c r="F10" s="5" t="s">
        <v>23</v>
      </c>
      <c r="G10" s="5" t="s">
        <v>24</v>
      </c>
      <c r="H10" s="5" t="s">
        <v>25</v>
      </c>
    </row>
    <row r="11" spans="1:8">
      <c r="A11">
        <v>1</v>
      </c>
      <c r="B11" t="s">
        <v>6</v>
      </c>
      <c r="C11">
        <v>10</v>
      </c>
      <c r="D11" t="s">
        <v>12</v>
      </c>
      <c r="E11">
        <v>33605</v>
      </c>
      <c r="F11">
        <v>90.7</v>
      </c>
      <c r="G11" s="6">
        <f>(E11/1000)*F11</f>
        <v>0</v>
      </c>
      <c r="H11" s="6">
        <f>G11*C11</f>
        <v>0</v>
      </c>
    </row>
    <row r="12" spans="1:8">
      <c r="A12">
        <v>2</v>
      </c>
      <c r="B12" t="s">
        <v>7</v>
      </c>
      <c r="C12">
        <v>5</v>
      </c>
      <c r="D12" t="s">
        <v>13</v>
      </c>
      <c r="E12">
        <v>5603</v>
      </c>
      <c r="F12">
        <v>36.1</v>
      </c>
      <c r="G12" s="6">
        <f>(E12/1000)*F12</f>
        <v>0</v>
      </c>
      <c r="H12" s="6">
        <f>G12*C12</f>
        <v>0</v>
      </c>
    </row>
    <row r="13" spans="1:8">
      <c r="A13">
        <v>3</v>
      </c>
      <c r="B13" t="s">
        <v>7</v>
      </c>
      <c r="C13">
        <v>1</v>
      </c>
      <c r="D13" t="s">
        <v>13</v>
      </c>
      <c r="E13">
        <v>5600</v>
      </c>
      <c r="F13">
        <v>36.1</v>
      </c>
      <c r="G13" s="6">
        <f>(E13/1000)*F13</f>
        <v>0</v>
      </c>
      <c r="H13" s="6">
        <f>G13*C13</f>
        <v>0</v>
      </c>
    </row>
    <row r="14" spans="1:8">
      <c r="A14">
        <v>4</v>
      </c>
      <c r="B14" t="s">
        <v>7</v>
      </c>
      <c r="C14">
        <v>1</v>
      </c>
      <c r="D14" t="s">
        <v>13</v>
      </c>
      <c r="E14">
        <v>5600</v>
      </c>
      <c r="F14">
        <v>36.1</v>
      </c>
      <c r="G14" s="6">
        <f>(E14/1000)*F14</f>
        <v>0</v>
      </c>
      <c r="H14" s="6">
        <f>G14*C14</f>
        <v>0</v>
      </c>
    </row>
    <row r="15" spans="1:8">
      <c r="A15">
        <v>5</v>
      </c>
      <c r="B15" t="s">
        <v>7</v>
      </c>
      <c r="C15">
        <v>1</v>
      </c>
      <c r="D15" t="s">
        <v>13</v>
      </c>
      <c r="E15">
        <v>5600</v>
      </c>
      <c r="F15">
        <v>36.1</v>
      </c>
      <c r="G15" s="6">
        <f>(E15/1000)*F15</f>
        <v>0</v>
      </c>
      <c r="H15" s="6">
        <f>G15*C15</f>
        <v>0</v>
      </c>
    </row>
    <row r="16" spans="1:8">
      <c r="A16">
        <v>6</v>
      </c>
      <c r="B16" t="s">
        <v>7</v>
      </c>
      <c r="C16">
        <v>1</v>
      </c>
      <c r="D16" t="s">
        <v>13</v>
      </c>
      <c r="E16">
        <v>5600</v>
      </c>
      <c r="F16">
        <v>36.1</v>
      </c>
      <c r="G16" s="6">
        <f>(E16/1000)*F16</f>
        <v>0</v>
      </c>
      <c r="H16" s="6">
        <f>G16*C16</f>
        <v>0</v>
      </c>
    </row>
    <row r="17" spans="1:8">
      <c r="A17">
        <v>7</v>
      </c>
      <c r="B17" t="s">
        <v>7</v>
      </c>
      <c r="C17">
        <v>1</v>
      </c>
      <c r="D17" t="s">
        <v>13</v>
      </c>
      <c r="E17">
        <v>5605</v>
      </c>
      <c r="F17">
        <v>36.1</v>
      </c>
      <c r="G17" s="6">
        <f>(E17/1000)*F17</f>
        <v>0</v>
      </c>
      <c r="H17" s="6">
        <f>G17*C17</f>
        <v>0</v>
      </c>
    </row>
    <row r="18" spans="1:8">
      <c r="A18">
        <v>8</v>
      </c>
      <c r="B18" t="s">
        <v>7</v>
      </c>
      <c r="C18">
        <v>6</v>
      </c>
      <c r="D18" t="s">
        <v>13</v>
      </c>
      <c r="E18">
        <v>44715</v>
      </c>
      <c r="F18">
        <v>36.1</v>
      </c>
      <c r="G18" s="6">
        <f>(E18/1000)*F18</f>
        <v>0</v>
      </c>
      <c r="H18" s="6">
        <f>G18*C18</f>
        <v>0</v>
      </c>
    </row>
    <row r="19" spans="1:8">
      <c r="A19">
        <v>9</v>
      </c>
      <c r="B19" t="s">
        <v>7</v>
      </c>
      <c r="C19">
        <v>2</v>
      </c>
      <c r="D19" t="s">
        <v>14</v>
      </c>
      <c r="E19">
        <v>4006</v>
      </c>
      <c r="F19">
        <v>77.59999999999999</v>
      </c>
      <c r="G19" s="6">
        <f>(E19/1000)*F19</f>
        <v>0</v>
      </c>
      <c r="H19" s="6">
        <f>G19*C19</f>
        <v>0</v>
      </c>
    </row>
    <row r="20" spans="1:8">
      <c r="A20">
        <v>10</v>
      </c>
      <c r="B20" t="s">
        <v>7</v>
      </c>
      <c r="C20">
        <v>10</v>
      </c>
      <c r="D20" t="s">
        <v>14</v>
      </c>
      <c r="E20">
        <v>473</v>
      </c>
      <c r="F20">
        <v>77.59999999999999</v>
      </c>
      <c r="G20" s="6">
        <f>(E20/1000)*F20</f>
        <v>0</v>
      </c>
      <c r="H20" s="6">
        <f>G20*C20</f>
        <v>0</v>
      </c>
    </row>
    <row r="21" spans="1:8">
      <c r="A21">
        <v>11</v>
      </c>
      <c r="B21" t="s">
        <v>8</v>
      </c>
      <c r="C21">
        <v>40</v>
      </c>
      <c r="D21" t="s">
        <v>15</v>
      </c>
      <c r="E21">
        <v>6000</v>
      </c>
      <c r="F21">
        <v>5.42</v>
      </c>
      <c r="G21" s="6">
        <f>(E21/1000)*F21</f>
        <v>0</v>
      </c>
      <c r="H21" s="6">
        <f>G21*C21</f>
        <v>0</v>
      </c>
    </row>
    <row r="22" spans="1:8">
      <c r="A22">
        <v>12</v>
      </c>
      <c r="B22" t="s">
        <v>9</v>
      </c>
      <c r="C22">
        <v>30</v>
      </c>
      <c r="D22" t="s">
        <v>16</v>
      </c>
      <c r="E22">
        <v>6000</v>
      </c>
      <c r="F22">
        <v>0.888</v>
      </c>
      <c r="G22" s="6">
        <f>(E22/1000)*F22</f>
        <v>0</v>
      </c>
      <c r="H22" s="6">
        <f>G22*C22</f>
        <v>0</v>
      </c>
    </row>
    <row r="23" spans="1:8">
      <c r="A23">
        <v>13</v>
      </c>
      <c r="B23" t="s">
        <v>10</v>
      </c>
      <c r="C23">
        <v>1</v>
      </c>
      <c r="D23" t="s">
        <v>14</v>
      </c>
      <c r="E23">
        <v>4100</v>
      </c>
      <c r="F23">
        <v>77.59999999999999</v>
      </c>
      <c r="G23" s="6">
        <f>(E23/1000)*F23</f>
        <v>0</v>
      </c>
      <c r="H23" s="6">
        <f>G23*C23</f>
        <v>0</v>
      </c>
    </row>
    <row r="24" spans="1:8">
      <c r="A24">
        <v>14</v>
      </c>
      <c r="B24" t="s">
        <v>11</v>
      </c>
      <c r="C24">
        <v>2</v>
      </c>
      <c r="D24" t="s">
        <v>14</v>
      </c>
      <c r="E24">
        <v>500</v>
      </c>
      <c r="F24">
        <v>77.59999999999999</v>
      </c>
      <c r="G24" s="6">
        <f>(E24/1000)*F24</f>
        <v>0</v>
      </c>
      <c r="H24" s="6">
        <f>G24*C24</f>
        <v>0</v>
      </c>
    </row>
    <row r="25" spans="1:8">
      <c r="G25" s="7" t="s">
        <v>26</v>
      </c>
      <c r="H25" s="8">
        <f>SUM(H11:H24)</f>
        <v>0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Metre_Expert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2026-05-14T00:49:54Z</dcterms:created>
  <dcterms:modified xsi:type="dcterms:W3CDTF">2026-05-14T00:49:54Z</dcterms:modified>
</cp:coreProperties>
</file>